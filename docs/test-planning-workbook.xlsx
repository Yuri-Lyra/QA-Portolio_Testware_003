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st Plan" sheetId="1" state="visible" r:id="rId1"/>
    <sheet xmlns:r="http://schemas.openxmlformats.org/officeDocument/2006/relationships" name="Schedule" sheetId="2" state="visible" r:id="rId2"/>
    <sheet xmlns:r="http://schemas.openxmlformats.org/officeDocument/2006/relationships" name="Risk Register" sheetId="3" state="visible" r:id="rId3"/>
    <sheet xmlns:r="http://schemas.openxmlformats.org/officeDocument/2006/relationships" name="Entry-Exit Criteria" sheetId="4" state="visible" r:id="rId4"/>
  </sheets>
  <definedNames/>
  <calcPr calcId="124519" fullCalcOnLoad="1"/>
</workbook>
</file>

<file path=xl/styles.xml><?xml version="1.0" encoding="utf-8"?>
<styleSheet xmlns="http://schemas.openxmlformats.org/spreadsheetml/2006/main">
  <numFmts count="1">
    <numFmt numFmtId="164" formatCode="yyyy-mm-dd"/>
  </numFmts>
  <fonts count="10">
    <font>
      <name val="Calibri"/>
      <color theme="1"/>
      <sz val="11"/>
      <scheme val="minor"/>
    </font>
    <font>
      <name val="Calibri"/>
      <b val="1"/>
      <color rgb="FFFFFFFF"/>
      <sz val="14"/>
    </font>
    <font/>
    <font>
      <name val="Calibri"/>
      <color rgb="FF797979"/>
      <sz val="9"/>
    </font>
    <font>
      <name val="Calibri"/>
      <b val="1"/>
      <color rgb="FF000000"/>
      <sz val="10"/>
    </font>
    <font>
      <name val="Calibri"/>
      <b val="1"/>
      <color rgb="FFFFFFFF"/>
      <sz val="10"/>
    </font>
    <font>
      <name val="Calibri"/>
      <color rgb="FF000000"/>
      <sz val="10"/>
    </font>
    <font>
      <name val="Calibri"/>
      <color rgb="FF0000FF"/>
      <sz val="10"/>
    </font>
    <font>
      <name val="Calibri"/>
      <b val="1"/>
      <color rgb="FF000000"/>
      <sz val="10"/>
      <u val="single"/>
    </font>
    <font>
      <name val="Calibri"/>
      <b val="1"/>
      <color rgb="FF000000"/>
      <sz val="11"/>
    </font>
  </fonts>
  <fills count="7">
    <fill>
      <patternFill/>
    </fill>
    <fill>
      <patternFill patternType="lightGray"/>
    </fill>
    <fill>
      <patternFill patternType="solid">
        <fgColor rgb="FF2E2E2E"/>
        <bgColor rgb="FF2E2E2E"/>
      </patternFill>
    </fill>
    <fill>
      <patternFill patternType="solid">
        <fgColor rgb="FFFBE4CD"/>
        <bgColor rgb="FFFBE4CD"/>
      </patternFill>
    </fill>
    <fill>
      <patternFill patternType="solid">
        <fgColor rgb="FFFFE499"/>
        <bgColor rgb="FFFFE499"/>
      </patternFill>
    </fill>
    <fill>
      <patternFill patternType="solid">
        <fgColor rgb="FFEE795E"/>
        <bgColor rgb="FFEE795E"/>
      </patternFill>
    </fill>
    <fill>
      <patternFill patternType="solid">
        <fgColor rgb="FFFFF8DB"/>
        <bgColor rgb="FFFFF8DB"/>
      </patternFill>
    </fill>
  </fills>
  <borders count="5">
    <border/>
    <border>
      <left/>
      <top/>
      <bottom/>
    </border>
    <border>
      <top/>
      <bottom/>
    </border>
    <border>
      <right/>
      <top/>
      <bottom/>
    </border>
    <border>
      <left/>
      <right/>
      <top/>
      <bottom/>
    </border>
  </borders>
  <cellStyleXfs count="1">
    <xf numFmtId="0" fontId="0" fillId="0" borderId="0"/>
  </cellStyleXfs>
  <cellXfs count="28">
    <xf numFmtId="0" fontId="0" fillId="0" borderId="0" applyAlignment="1" pivotButton="0" quotePrefix="0" xfId="0">
      <alignment vertical="bottom"/>
    </xf>
    <xf numFmtId="0" fontId="1" fillId="2" borderId="1" applyAlignment="1" pivotButton="0" quotePrefix="0" xfId="0">
      <alignment vertical="top" wrapText="1"/>
    </xf>
    <xf numFmtId="0" fontId="2" fillId="0" borderId="2" pivotButton="0" quotePrefix="0" xfId="0"/>
    <xf numFmtId="0" fontId="2" fillId="0" borderId="3" pivotButton="0" quotePrefix="0" xfId="0"/>
    <xf numFmtId="0" fontId="3" fillId="3" borderId="1" applyAlignment="1" pivotButton="0" quotePrefix="0" xfId="0">
      <alignment vertical="top" wrapText="1"/>
    </xf>
    <xf numFmtId="0" fontId="4" fillId="4" borderId="1" applyAlignment="1" pivotButton="0" quotePrefix="0" xfId="0">
      <alignment vertical="top" wrapText="1"/>
    </xf>
    <xf numFmtId="0" fontId="5" fillId="5" borderId="4" applyAlignment="1" pivotButton="0" quotePrefix="0" xfId="0">
      <alignment vertical="top" wrapText="1"/>
    </xf>
    <xf numFmtId="0" fontId="4" fillId="0" borderId="0" pivotButton="0" quotePrefix="0" xfId="0"/>
    <xf numFmtId="0" fontId="6" fillId="0" borderId="0" applyAlignment="1" pivotButton="0" quotePrefix="0" xfId="0">
      <alignment vertical="top" wrapText="1"/>
    </xf>
    <xf numFmtId="0" fontId="7" fillId="6" borderId="4" pivotButton="0" quotePrefix="0" xfId="0"/>
    <xf numFmtId="164" fontId="6" fillId="6" borderId="4" applyAlignment="1" pivotButton="0" quotePrefix="0" xfId="0">
      <alignment vertical="top" wrapText="1"/>
    </xf>
    <xf numFmtId="164" fontId="6" fillId="0" borderId="0" applyAlignment="1" pivotButton="0" quotePrefix="0" xfId="0">
      <alignment vertical="top" wrapText="1"/>
    </xf>
    <xf numFmtId="0" fontId="5" fillId="5" borderId="4" applyAlignment="1" pivotButton="0" quotePrefix="0" xfId="0">
      <alignment horizontal="center" vertical="top" wrapText="1"/>
    </xf>
    <xf numFmtId="0" fontId="8" fillId="3" borderId="1" applyAlignment="1" pivotButton="0" quotePrefix="0" xfId="0">
      <alignment vertical="center" wrapText="1"/>
    </xf>
    <xf numFmtId="0" fontId="4" fillId="3" borderId="4" applyAlignment="1" pivotButton="0" quotePrefix="0" xfId="0">
      <alignment vertical="center" wrapText="1"/>
    </xf>
    <xf numFmtId="0" fontId="4" fillId="0" borderId="0" applyAlignment="1" pivotButton="0" quotePrefix="0" xfId="0">
      <alignment vertical="top" wrapText="1"/>
    </xf>
    <xf numFmtId="0" fontId="7" fillId="6" borderId="4" applyAlignment="1" pivotButton="0" quotePrefix="0" xfId="0">
      <alignment horizontal="center" vertical="top" wrapText="1"/>
    </xf>
    <xf numFmtId="0" fontId="6" fillId="0" borderId="0" applyAlignment="1" pivotButton="0" quotePrefix="0" xfId="0">
      <alignment vertical="top" wrapText="1"/>
    </xf>
    <xf numFmtId="0" fontId="6" fillId="0" borderId="0" applyAlignment="1" pivotButton="0" quotePrefix="0" xfId="0">
      <alignment vertical="center" wrapText="1"/>
    </xf>
    <xf numFmtId="0" fontId="6" fillId="0" borderId="0" applyAlignment="1" pivotButton="0" quotePrefix="0" xfId="0">
      <alignment horizontal="center" vertical="top" wrapText="1"/>
    </xf>
    <xf numFmtId="0" fontId="9" fillId="3" borderId="1" applyAlignment="1" pivotButton="0" quotePrefix="0" xfId="0">
      <alignment vertical="center" wrapText="1"/>
    </xf>
    <xf numFmtId="164" fontId="4" fillId="0" borderId="0" applyAlignment="1" pivotButton="0" quotePrefix="0" xfId="0">
      <alignment vertical="top" wrapText="1"/>
    </xf>
    <xf numFmtId="0" fontId="0" fillId="0" borderId="0" pivotButton="0" quotePrefix="0" xfId="0"/>
    <xf numFmtId="0" fontId="1" fillId="2" borderId="4" applyAlignment="1" pivotButton="0" quotePrefix="0" xfId="0">
      <alignment vertical="top" wrapText="1"/>
    </xf>
    <xf numFmtId="0" fontId="8" fillId="3" borderId="4" applyAlignment="1" pivotButton="0" quotePrefix="0" xfId="0">
      <alignment vertical="center" wrapText="1"/>
    </xf>
    <xf numFmtId="0" fontId="9" fillId="3" borderId="4" applyAlignment="1" pivotButton="0" quotePrefix="0" xfId="0">
      <alignment vertical="center" wrapText="1"/>
    </xf>
    <xf numFmtId="0" fontId="3" fillId="3" borderId="4" applyAlignment="1" pivotButton="0" quotePrefix="0" xfId="0">
      <alignment vertical="top" wrapText="1"/>
    </xf>
    <xf numFmtId="0" fontId="4" fillId="4" borderId="4" applyAlignment="1" pivotButton="0" quotePrefix="0" xfId="0">
      <alignment vertical="top" wrapText="1"/>
    </xf>
  </cellXfs>
  <cellStyles count="1">
    <cellStyle name="Normal" xfId="0" builtinId="0"/>
  </cellStyles>
  <dxfs count="9">
    <dxf>
      <font/>
      <fill>
        <patternFill patternType="solid">
          <fgColor rgb="FFC5E7C7"/>
          <bgColor rgb="FFC5E7C7"/>
        </patternFill>
      </fill>
      <border/>
    </dxf>
    <dxf>
      <font/>
      <fill>
        <patternFill patternType="solid">
          <fgColor rgb="FFFFF3AF"/>
          <bgColor rgb="FFFFF3AF"/>
        </patternFill>
      </fill>
      <border/>
    </dxf>
    <dxf>
      <font/>
      <fill>
        <patternFill patternType="solid">
          <fgColor rgb="FFE8E8E8"/>
          <bgColor rgb="FFE8E8E8"/>
        </patternFill>
      </fill>
      <border/>
    </dxf>
    <dxf>
      <font>
        <name val="Calibri"/>
        <b val="1"/>
      </font>
      <fill>
        <patternFill patternType="solid">
          <fgColor rgb="FF92C47C"/>
          <bgColor rgb="FF92C47C"/>
        </patternFill>
      </fill>
      <border/>
    </dxf>
    <dxf>
      <font>
        <name val="Calibri"/>
        <b val="1"/>
      </font>
      <fill>
        <patternFill patternType="solid">
          <fgColor rgb="FFF8CA9C"/>
          <bgColor rgb="FFF8CA9C"/>
        </patternFill>
      </fill>
      <border/>
    </dxf>
    <dxf>
      <font>
        <name val="Calibri"/>
        <b val="1"/>
      </font>
      <fill>
        <patternFill patternType="solid">
          <fgColor rgb="FFFFF3AF"/>
          <bgColor rgb="FFFFF3AF"/>
        </patternFill>
      </fill>
      <border/>
    </dxf>
    <dxf>
      <font/>
      <fill>
        <patternFill patternType="solid">
          <fgColor rgb="FFF4A69F"/>
          <bgColor rgb="FFF4A69F"/>
        </patternFill>
      </fill>
      <border/>
    </dxf>
    <dxf>
      <font/>
      <fill>
        <patternFill patternType="solid">
          <fgColor rgb="FFFFE0B2"/>
          <bgColor rgb="FFFFE0B2"/>
        </patternFill>
      </fill>
      <border/>
    </dxf>
    <dxf>
      <font/>
      <fill>
        <patternFill patternType="solid">
          <fgColor rgb="FFC9E0C4"/>
          <bgColor rgb="FFC9E0C4"/>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QA</author>
  </authors>
  <commentList>
    <comment ref="C2" authorId="0" shapeId="0">
      <text>
        <t>Pendent = not reviewed yet. To confirm = waiting for an answer from the team. Confirmed = agreed.</t>
      </text>
    </comment>
    <comment ref="A3" authorId="0" shapeId="0">
      <text>
        <t>WHAT is tested and what is NOT. Writing the 'out of scope' list avoids discussions later about tests nobody planned (CTFL 5.1.1 / ISO 29119-3 test plan: context of testing).</t>
      </text>
    </comment>
    <comment ref="A4" authorId="0" shapeId="0">
      <text>
        <t>WHY we test. Each objective must be checkable at the end of the cycle; the exit criteria are built from them.</t>
      </text>
    </comment>
    <comment ref="A5" authorId="0" shapeId="0">
      <text>
        <t>Limits that shape HOW we can test (time, tools, data, environment).</t>
      </text>
    </comment>
    <comment ref="A6" authorId="0" shapeId="0">
      <text>
        <t>The documents the tests are derived from. If a rule is not in the test basis, it becomes an assumption to confirm.</t>
      </text>
    </comment>
    <comment ref="A9" authorId="0" shapeId="0">
      <text>
        <t>Rules already stated by the team. Expected results of the test cases come from here.</t>
      </text>
    </comment>
    <comment ref="A10" authorId="0" shapeId="0">
      <text>
        <t>Anything we BELIEVE but nobody confirmed. Each one becomes a question to the team; the answer changes the expected result of some test cases.</t>
      </text>
    </comment>
    <comment ref="A13" authorId="0" shapeId="0">
      <text>
        <t>Who is involved and why. Knowing who answers each kind of question saves time.</t>
      </text>
    </comment>
    <comment ref="A19" authorId="0" shapeId="0">
      <text>
        <t>Risk-based testing: the higher the risk score, the earlier and deeper we test that area (CTFL 5.2).</t>
      </text>
    </comment>
    <comment ref="A23" authorId="0" shapeId="0">
      <text>
        <t>Level = how big the piece under test is. Here: the whole system and its integrations, not single functions of the code.</t>
      </text>
    </comment>
    <comment ref="A24" authorId="0" shapeId="0">
      <text>
        <t>Type = which quality characteristic we check (function, data, time, usability, robustness).</t>
      </text>
    </comment>
    <comment ref="A25" authorId="0" shapeId="0">
      <text>
        <t>Techniques = methods to choose test cases with the best coverage using few tests (CTFL chapter 4).</t>
      </text>
    </comment>
    <comment ref="A26" authorId="0" shapeId="0">
      <text>
        <t>The work products this cycle will produce (ISO 29119-3).</t>
      </text>
    </comment>
    <comment ref="A27" authorId="0" shapeId="0">
      <text>
        <t>Entry = what must be true to START executing. Exit = what must be true to say we are DONE.</t>
      </text>
    </comment>
    <comment ref="A28" authorId="0" shapeId="0">
      <text>
        <t>An independent tester finds different defects than the author of the code.</t>
      </text>
    </comment>
    <comment ref="A29" authorId="0" shapeId="0">
      <text>
        <t>The numbers that show progress and quality during and at the end of the cycle.</t>
      </text>
    </comment>
    <comment ref="A30" authorId="0" shapeId="0">
      <text>
        <t>The data that must exist BEFORE the tests run. Missing data is a common reason for blocked tests.</t>
      </text>
    </comment>
    <comment ref="A31" authorId="0" shapeId="0">
      <text>
        <t>Tools, devices and environments needed. Record versions: a defect is only useful if it can be reproduced in the same configuration.</t>
      </text>
    </comment>
  </commentList>
</comments>
</file>

<file path=xl/comments/comment2.xml><?xml version="1.0" encoding="utf-8"?>
<comments xmlns="http://schemas.openxmlformats.org/spreadsheetml/2006/main">
  <authors>
    <author>QA</author>
  </authors>
  <commentList>
    <comment ref="B4" authorId="0" shapeId="0">
      <text>
        <t>The test process phases of ISO/IEC/IEEE 29119-2 (same as the CTFL test process).</t>
      </text>
    </comment>
    <comment ref="G4" authorId="0" shapeId="0">
      <text>
        <t>Formula NETWORKDAYS(Start, End): counts Monday to Friday, both days included.</t>
      </text>
    </comment>
  </commentList>
</comments>
</file>

<file path=xl/comments/comment3.xml><?xml version="1.0" encoding="utf-8"?>
<comments xmlns="http://schemas.openxmlformats.org/spreadsheetml/2006/main">
  <authors>
    <author>QA</author>
  </authors>
  <commentList>
    <comment ref="A3" authorId="0" shapeId="0">
      <text>
        <t>Scores from this value up are High. Change it and every Level updates.</t>
      </text>
    </comment>
    <comment ref="B6" authorId="0" shapeId="0">
      <text>
        <t>Product risk = the software may fail (quality). Project risk = the testing work may fail (time, people, data).</t>
      </text>
    </comment>
    <comment ref="D6" authorId="0" shapeId="0">
      <text>
        <t>How likely is it to happen? 1 = very unlikely, 5 = almost certain.</t>
      </text>
    </comment>
    <comment ref="E6" authorId="0" shapeId="0">
      <text>
        <t>How bad is it for the business or the user if it happens? 1 = minor, 5 = severe.</t>
      </text>
    </comment>
    <comment ref="H6" authorId="0" shapeId="0">
      <text>
        <t>What testing (or other action) reduces the risk or shows whether it happened.</t>
      </text>
    </comment>
  </commentList>
</comments>
</file>

<file path=xl/comments/comment4.xml><?xml version="1.0" encoding="utf-8"?>
<comments xmlns="http://schemas.openxmlformats.org/spreadsheetml/2006/main">
  <authors>
    <author>QA</author>
  </authors>
  <commentList>
    <comment ref="A3" authorId="0" shapeId="0">
      <text>
        <t>Entry criteria (CTFL 5.1.3): resources available, test material available, and an initial quality level (smoke test) of the test object.</t>
      </text>
    </comment>
    <comment ref="A12" authorId="0" shapeId="0">
      <text>
        <t>Exit criteria (CTFL 5.1.3): measures of thoroughness (coverage, open defects) and completion criteria (planned tests executed, report done).</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app.shortcut.com/persimmonlife/story/15139/provider-vacations-allow-multiple-vacations-submission" TargetMode="Externa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sheetPr>
  <dimension ref="A1:D36"/>
  <sheetViews>
    <sheetView showGridLines="0" workbookViewId="0">
      <selection activeCell="A1" sqref="A1"/>
    </sheetView>
  </sheetViews>
  <sheetFormatPr baseColWidth="8" defaultColWidth="14.43" defaultRowHeight="15" customHeight="1"/>
  <cols>
    <col width="28" customWidth="1" style="22" min="1" max="1"/>
    <col width="157.71" customWidth="1" style="22" min="2" max="2"/>
    <col width="15" customWidth="1" style="22" min="3" max="3"/>
    <col width="42" customWidth="1" style="22" min="4" max="4"/>
    <col width="8.710000000000001" customWidth="1" style="22" min="5" max="26"/>
  </cols>
  <sheetData>
    <row r="1" ht="24" customHeight="1" s="22">
      <c r="A1" s="23" t="inlineStr">
        <is>
          <t>TESTWARE #003: TEST PLAN</t>
        </is>
      </c>
    </row>
    <row r="2" ht="43.5" customHeight="1" s="22">
      <c r="A2" s="24" t="inlineStr">
        <is>
          <t>Feature: Vacation Notice - allow multiple vacations submission.
Update of the existing 'Vacation Notice' feature: a provider can now keep up to 3 vacation periods instead of 1.
Sources: PRD 'Provider vacations' and the internal feature description.</t>
        </is>
      </c>
      <c r="C2" s="14" t="inlineStr">
        <is>
          <t>Status</t>
        </is>
      </c>
      <c r="D2" s="14" t="inlineStr">
        <is>
          <t>Notes</t>
        </is>
      </c>
    </row>
    <row r="3" ht="341.25" customHeight="1" s="22">
      <c r="A3" s="15" t="inlineStr">
        <is>
          <t>Scope</t>
        </is>
      </c>
      <c r="B3" s="17" t="inlineStr">
        <is>
          <t>Vacation Notice feature after the change from 1 to up to 3 vacation periods per provider, on 3 surfaces:
(a) Provider App on iOS: More &gt; Vacation Notice (DEV build);
(b) Admin: Vacation list;
(c) Effects of a vacation on other parts of the system: the booking flow schedule step (test environment) and the automated system messages.
In scope:
(a) creating 1, 2 and 3 vacation notices; the limit of 3 (Add button disabled and limit message); the slot freed after a delete;
(b) date validation: Start Date and End Date required; Submit enabled only with both dates; End before Start; Start equal to End; overlap with an existing notice, including periods that touch on the same day (error 'You already have a vacation notice on this period'); a period that contains an existing booking of the provider (not allowed: the vacation must be before or after the booking);
(c) lists: Vacation Notice screen and All Vacations screen, order, 'Ongoing' and 'Past' tags, trash icon, '&lt;' navigation;
(d) deletion: modal 'Delete vacation notice?', Cancel and Delete, removal from both lists, removal of the 'Ongoing' tag, Add button enabled again;
(e) Admin Vacation list: one row per notice (up to 3 per provider), provider name, start date, end date, total days, name filter, pagination, read only (no create, edit or delete);
(f) Admin palm tree icon: shown only while a vacation is ongoing, on every Admin page that shows the provider;
(g) effects of EACH of the 3 periods (not only the first one) while it is ongoing: provider not listed in the booking flow schedule step, automated messages suppressed (mandatory open slots alert, 'availability reminder'), Provider App access unrestricted; provider listed again when no vacation is ongoing;
(h) regression: the single-vacation flow and providers who already had a vacation notice before the change;
Out of scope:
(a) editing a vacation notice (the feature does not offer editing);
(b) load and performance testing;
(c) the content of the automated messages and the rest of the booking flow (only the provider being hidden or shown is tested here);
(d) vacations for other roles (customers, admins);
(e) the Provider App on Android (only iOS is used);</t>
        </is>
      </c>
      <c r="C3" s="18" t="inlineStr">
        <is>
          <t>Confirmed</t>
        </is>
      </c>
      <c r="D3" s="17" t="inlineStr">
        <is>
          <t>Platform confirmed: iOS only.</t>
        </is>
      </c>
    </row>
    <row r="4" ht="125.25" customHeight="1" s="22">
      <c r="A4" s="15" t="inlineStr">
        <is>
          <t>Test objectives</t>
        </is>
      </c>
      <c r="B4" s="17" t="inlineStr">
        <is>
          <t>Ensure that:
(1) a provider can create up to 3 vacation notices and cannot create a 4th one (Add button disabled and limit message) until one is deleted;
(2) invalid periods are rejected (missing date, End before Start, overlap with any existing notice, period containing an existing booking) and valid ones are accepted, including past dates;
(3) both lists (Vacation Notice and All Vacations) show every notice correctly: dates, order, 'Ongoing' and 'Past' tags, trash icon;
(4) deleting any notice (first, middle, last, ongoing) removes exactly that notice everywhere (app, Admin list, palm tree icon, booking block) and frees one slot;
(5) the Admin Vacation list shows each notice with the correct provider, dates and total days, the name filter works, and no write action is possible;
(6) while each of the 3 periods is ongoing the provider cannot be booked and receives no automated messages, and becomes available again when it ends;
(7) the single-vacation behavior and the notices created before the change still work (no regression);</t>
        </is>
      </c>
      <c r="C4" s="18" t="inlineStr">
        <is>
          <t>Confirmed</t>
        </is>
      </c>
      <c r="D4" s="17" t="n"/>
    </row>
    <row r="5" ht="98.25" customHeight="1" s="22">
      <c r="A5" s="15" t="inlineStr">
        <is>
          <t>Constraints</t>
        </is>
      </c>
      <c r="B5" s="17" t="inlineStr">
        <is>
          <t>- 4 working days: 2026-10-19 to 2026-10-22
- Manual execution on the Provider App (native mobile app, iOS only); simple Playwright checks only on web pages (Admin Vacation list, booking flow), because Playwright tests web pages, not native apps
- Fictional test providers and test customers only
- Several results depend on today's date ('Ongoing', 'Past', palm tree icon, booking block): tests need notices that started today, ended yesterday and start tomorrow
- Automated messages run on schedules (monthly alert, availability reminder) and may not be triggered on demand: Backend help (logs or manual trigger) is needed
- Vacation notices can only be created or deleted through the Provider App (the Admin is read only)</t>
        </is>
      </c>
      <c r="C5" s="18" t="inlineStr">
        <is>
          <t>Confirmed</t>
        </is>
      </c>
      <c r="D5" s="17" t="inlineStr">
        <is>
          <t>Deadline confirmed (2026-10-19).</t>
        </is>
      </c>
    </row>
    <row r="6" ht="57.75" customHeight="1" s="22">
      <c r="A6" s="15" t="inlineStr">
        <is>
          <t>Test basis</t>
        </is>
      </c>
      <c r="B6" s="17" t="inlineStr">
        <is>
          <t>- PRD 'Provider vacations - allow multiple vacations submission' (one line: up to 3 different time periods)
- Feature description internal feature description (Provider App, Admin, related actions, screenshots)
- Figma design: to be added
- Jira story: to be added</t>
        </is>
      </c>
      <c r="C6" s="18" t="inlineStr">
        <is>
          <t>Confirmed</t>
        </is>
      </c>
      <c r="D6" s="17" t="inlineStr">
        <is>
          <t>The PRD is a single line: most rules come from the feature description, so the assumptions below matter.</t>
        </is>
      </c>
    </row>
    <row r="7"/>
    <row r="8" ht="19.5" customHeight="1" s="22">
      <c r="A8" s="25" t="inlineStr">
        <is>
          <t>2. ASSUMPTIONS AND PROJECT CONSTRAINTS</t>
        </is>
      </c>
    </row>
    <row r="9" ht="273.75" customHeight="1" s="22">
      <c r="A9" s="15" t="inlineStr">
        <is>
          <t>Confirmed rules</t>
        </is>
      </c>
      <c r="B9" s="17" t="inlineStr">
        <is>
          <t>(1) Up to 3 vacation notices per provider (previously 1).
(2) Start Date and End Date are required (date pickers). Submit is enabled only after both dates are selected. A confirmation screen 'Vacation Notice Submitted' with a Done button closes the flow; '&lt;' goes back.
(3) A notice inside the period of another notice is rejected with the error 'You already have a vacation notice on this period'; OK closes the modal.
(4) Notices with past dates are allowed.
(5) With 3 notices, 'Add Vacation Notice' is disabled and the message 'You can have up to 3 vacation notices. Delete one to add another.' is shown near the bottom of the screen.
(6) Delete: trash icon &gt; modal 'Delete vacation notice?' showing the period, with Cancel and Delete. After Delete the notice leaves the list and 'Add Vacation Notice' is enabled again. If the deleted notice was the ongoing one, the 'Ongoing' tag disappears.
(7) Vacation Notice screen: notices with the 'Ongoing' tag (current period) and a trash icon; 'No vacation notices yet' when empty. All Vacations: past notices with the 'Past' tag, plus the current and future ones with their tag and trash icon.
(8) Admin Vacation list: provider name, start date, end date, total days; filter by provider name; no create, edit or delete. A palm tree icon appears on the provider profile on every Admin page while a vacation is ongoing.
(9) During an ongoing vacation the provider is not listed in the booking flow schedule step and receives no automated messages (for example the mandatory open slots alert and 'availability reminder'). Provider App access is not restricted.
(10) [A1] Notices with the 'Past' tag do NOT count toward the limit of 3.
(11) [A2] Periods that touch on the same day (End of one = Start of the next) are NOT allowed; any overlap is rejected.
(12) [A5] The provider is hidden from the booking flow schedule step only WHILE a vacation is ongoing (not in advance for future periods).
(13) [A6] A vacation notice cannot be created if the provider already has a booking inside that period: the vacation must be before or after the booking.
(14) [A12] Provider App platform in scope: iOS only.</t>
        </is>
      </c>
      <c r="C9" s="18" t="inlineStr">
        <is>
          <t>Confirmed</t>
        </is>
      </c>
      <c r="D9" s="17" t="inlineStr">
        <is>
          <t>Rules 1 to 9: internal feature description. Rules 10 to 14: answers from the clarification session (2026-10-19).</t>
        </is>
      </c>
    </row>
    <row r="10" ht="273.75" customHeight="1" s="22">
      <c r="A10" s="15" t="inlineStr">
        <is>
          <t>Assumptions to confirm</t>
        </is>
      </c>
      <c r="B10" s="17" t="inlineStr">
        <is>
          <t>(A1b) A NEW notice created with past dates gets the 'Past' tag at once, so it does not count toward the limit of 3 either.
(A2b) Consecutive periods with no shared day (End 10/25, next Start 10/26) are allowed.
(A3) Dates are inclusive full days in the provider's time zone: the provider is on vacation on the Start Date AND on the End Date. Which time zone defines 'Ongoing' and the booking block (provider, clinic or UTC)?
(A4) Admin 'Days' column: the screenshot shows Days = End - Start (10/19/2026 to 10/25/2026 = 6), one day less than an inclusive count (7). Which is correct?
(A6b) Rule 13 (no vacation over an existing booking): which booking statuses block the vacation (confirmed, pending, cancelled, completed)? What message is shown? Does a booking on the Start Date or the End Date block it?
(A7) The limit of 3, the overlap rule and the booking rule are enforced by the Backend (API), not only by the app screen (double tap on Submit, two devices, direct API call).
(A8) Is there a maximum duration or a maximum future date for a vacation? (The Admin screenshot shows a 367-day notice.)
(A9) Both lists are ordered by Start Date, oldest first.
(A10) Past notices can be deleted from All Vacations with the same flow.
(A11) Deleted notices disappear from the Admin Vacation list. The Admin screenshot shows overlapping rows for the same provider (10/19/2026-10/25/2026 and 10/19/2026-10/22/2026) and more than 3 rows: legacy test data, history of deleted notices, or a defect?
(A13) End Date before Start Date: blocked by the date picker, or by an error after Submit?
(A14) NEW, raised by rules 12 + 13: a provider with a FUTURE vacation is still listed in the booking flow (rule 12), so a customer can book a slot inside that future vacation. Rule 13 only blocks the opposite order (booking first, vacation later). Is this booking allowed? If not, which side blocks it?</t>
        </is>
      </c>
      <c r="C10" s="18" t="inlineStr">
        <is>
          <t>To confirm</t>
        </is>
      </c>
      <c r="D10" s="17" t="inlineStr">
        <is>
          <t>A14 is a possible gap in the business rule (Risk R19, High). Send A3, A6b, A7 and A14 first: they block the entry criteria (E5).</t>
        </is>
      </c>
    </row>
    <row r="11"/>
    <row r="12" ht="19.5" customHeight="1" s="22">
      <c r="A12" s="25" t="inlineStr">
        <is>
          <t>3. STAKEHOLDERS</t>
        </is>
      </c>
    </row>
    <row r="13" ht="17.25" customHeight="1" s="22">
      <c r="A13" s="15" t="inlineStr">
        <is>
          <t>QA Analyst</t>
        </is>
      </c>
      <c r="B13" s="17" t="inlineStr">
        <is>
          <t>QA Analyst and tester (author of this plan): plans, designs, executes and reports the tests.</t>
        </is>
      </c>
      <c r="C13" s="18" t="inlineStr">
        <is>
          <t>Confirmed</t>
        </is>
      </c>
      <c r="D13" s="17" t="n"/>
    </row>
    <row r="14" ht="17.25" customHeight="1" s="22">
      <c r="A14" s="15" t="inlineStr">
        <is>
          <t>Engineering Lead</t>
        </is>
      </c>
      <c r="B14" s="17" t="inlineStr">
        <is>
          <t>technical approval; clarifies business rules (open assumptions) and architecture.</t>
        </is>
      </c>
      <c r="C14" s="18" t="inlineStr">
        <is>
          <t>Confirmed</t>
        </is>
      </c>
      <c r="D14" s="17" t="inlineStr">
        <is>
          <t>Same stakeholders as Testware #001 and #002.</t>
        </is>
      </c>
    </row>
    <row r="15" ht="30.75" customHeight="1" s="22">
      <c r="A15" s="15" t="inlineStr">
        <is>
          <t>Backend Lead</t>
        </is>
      </c>
      <c r="B15" s="17" t="inlineStr">
        <is>
          <t>vacation rules in the API (limit of 3, overlap, dates and time zone, total days), provider availability in the booking flow, booking conflict check (rule 13), scheduled messages (logs or manual trigger), test data.</t>
        </is>
      </c>
      <c r="C15" s="18" t="inlineStr">
        <is>
          <t>Confirmed</t>
        </is>
      </c>
      <c r="D15" s="17" t="n"/>
    </row>
    <row r="16" ht="30.75" customHeight="1" s="22">
      <c r="A16" s="15" t="inlineStr">
        <is>
          <t>Frontend Lead</t>
        </is>
      </c>
      <c r="B16" s="17" t="inlineStr">
        <is>
          <t>Provider App screens and states (Vacation Notice, All Vacations, modals, disabled button), Admin Vacation list and palm tree icon, test selectors (data-test).</t>
        </is>
      </c>
      <c r="C16" s="18" t="inlineStr">
        <is>
          <t>Confirmed</t>
        </is>
      </c>
      <c r="D16" s="17" t="n"/>
    </row>
    <row r="17"/>
    <row r="18" ht="19.5" customHeight="1" s="22">
      <c r="A18" s="25" t="inlineStr">
        <is>
          <t>4. RISK REGISTER (SUMMARY)</t>
        </is>
      </c>
    </row>
    <row r="19" ht="17.25" customHeight="1" s="22">
      <c r="A19" s="15" t="inlineStr">
        <is>
          <t>Reference</t>
        </is>
      </c>
      <c r="B19" s="17" t="inlineStr">
        <is>
          <t>See the 'Risk Register' tab for the full list with probability, impact, score and mitigation.</t>
        </is>
      </c>
      <c r="C19" s="18" t="inlineStr">
        <is>
          <t>Confirmed</t>
        </is>
      </c>
      <c r="D19" s="17" t="n"/>
    </row>
    <row r="20" ht="84.75" customHeight="1" s="22">
      <c r="A20" s="15" t="inlineStr">
        <is>
          <t>Highest-severity risks (summary)</t>
        </is>
      </c>
      <c r="B20" s="17" t="inlineStr">
        <is>
          <t>R2: the overlap rule only catches periods 'contained' in another one; partial overlaps or overlaps with the 2nd/3rd notice are accepted.
R3: the booking block was built for 1 vacation and only works for the first or nearest one; the provider stays bookable while the 2nd or 3rd period is ongoing.
R7: deleting a notice removes the wrong one, or the 'Ongoing' tag, palm tree icon and booking block stay after the ongoing notice is deleted.
R19: a customer can book a slot inside a FUTURE vacation (the provider is only hidden while a vacation is ongoing), creating the booking-vacation conflict that rule 13 forbids in the other order (A14).
R10: the check 'no vacation over an existing booking' (rule 13) misses bookings (2nd/3rd period, Start/End day, booking status) or blocks valid periods.</t>
        </is>
      </c>
      <c r="C20" s="18" t="inlineStr">
        <is>
          <t>Confirmed</t>
        </is>
      </c>
      <c r="D20" s="17" t="n"/>
    </row>
    <row r="21" ht="15.75" customHeight="1" s="22"/>
    <row r="22" ht="19.5" customHeight="1" s="22">
      <c r="A22" s="25" t="inlineStr">
        <is>
          <t>5. TEST APPROACH</t>
        </is>
      </c>
    </row>
    <row r="23" ht="44.25" customHeight="1" s="22">
      <c r="A23" s="15" t="inlineStr">
        <is>
          <t>Test levels</t>
        </is>
      </c>
      <c r="B23" s="17" t="inlineStr">
        <is>
          <t>(1) System testing of the Provider App and the Admin in the test environment;
(2) System integration testing of the vacation effects: booking flow schedule step and automated messages;
(3) Regression (smoke) of the single-vacation flow and of notices created before the change.</t>
        </is>
      </c>
      <c r="C23" s="18" t="inlineStr">
        <is>
          <t>Confirmed</t>
        </is>
      </c>
      <c r="D23" s="17" t="n"/>
    </row>
    <row r="24" ht="84.75" customHeight="1" s="22">
      <c r="A24" s="15" t="inlineStr">
        <is>
          <t>Test types</t>
        </is>
      </c>
      <c r="B24" s="17" t="inlineStr">
        <is>
          <t>(i) Functional (create, limit, validation, lists, tags, delete);
(ii) Data consistency (Provider App vs Admin vs booking availability vs API);
(iii) Time-based (Future &gt; Ongoing &gt; Past transitions, date and time zone boundaries);
(iv) UI and usability (empty state, disabled button, limit message, modals, Figma comparison);
(v) Light robustness (double tap on Submit, two devices at the same time, slow or lost connection during Submit);
(vi) Exploratory (session charters).</t>
        </is>
      </c>
      <c r="C24" s="18" t="inlineStr">
        <is>
          <t>Confirmed</t>
        </is>
      </c>
      <c r="D24" s="17" t="n"/>
    </row>
    <row r="25" ht="125.25" customHeight="1" s="22">
      <c r="A25" s="15" t="inlineStr">
        <is>
          <t>Test techniques</t>
        </is>
      </c>
      <c r="B25" s="17" t="inlineStr">
        <is>
          <t>(a) Equivalence partitioning and boundary value analysis: number of notices (0, 1, 2, 3, attempt of a 4th); dates (past, today, future; Start = End; End = Start - 1; year boundary 2026-12-31 / 2027-01-01; leap day 2028-02-29);
(b) Decision tables: (i) 'Overlap': position of the new period against an existing one (before with a gap, consecutive before, touching on the same day, overlaps the start, inside, contains, identical, same start, same end, overlaps the end, touching after, consecutive after, after with a gap), applied against the 1st, 2nd and 3rd notice; (ii) 'Existing booking': booking date (before Start, on Start, inside, on End, after End) x booking status;
(c) State transition testing: (i) number of notices 0 &gt; 1 &gt; 2 &gt; 3 (Add disabled) &gt; delete &gt; 2 (Add enabled); (ii) life of a notice Future &gt; Ongoing &gt; Past;
(d) Error guessing: double tap, two devices, midnight and time zone, deleting the ongoing notice, deleting the middle one of 3, lost connection;
(e) Exploratory charters;
(f) Simple Playwright checks on the Admin Vacation list (rows, filter, read only) and on the booking flow schedule step.</t>
        </is>
      </c>
      <c r="C25" s="18" t="inlineStr">
        <is>
          <t>Confirmed</t>
        </is>
      </c>
      <c r="D25" s="17" t="n"/>
    </row>
    <row r="26" ht="30.75" customHeight="1" s="22">
      <c r="A26" s="15" t="inlineStr">
        <is>
          <t>Test deliverables</t>
        </is>
      </c>
      <c r="B26" s="17" t="inlineStr">
        <is>
          <t>(1) Test Plan; (2) Risk Register; (3) Entry and exit criteria; (4) Schedule; (5) Test conditions, test cases, charters and coverage items; (6) Test sets, procedures, test data and automation checks; (7) Execution records; (8) Defect reports; (9) Test completion report.</t>
        </is>
      </c>
      <c r="C26" s="18" t="inlineStr">
        <is>
          <t>Confirmed</t>
        </is>
      </c>
      <c r="D26" s="17" t="inlineStr">
        <is>
          <t>This file covers deliverables 1 to 4.</t>
        </is>
      </c>
    </row>
    <row r="27" ht="17.25" customHeight="1" s="22">
      <c r="A27" s="15" t="inlineStr">
        <is>
          <t>Entry and exit criteria</t>
        </is>
      </c>
      <c r="B27" s="17" t="inlineStr">
        <is>
          <t>See the 'Entry-Exit Criteria' tab.</t>
        </is>
      </c>
      <c r="C27" s="18" t="inlineStr">
        <is>
          <t>Confirmed</t>
        </is>
      </c>
      <c r="D27" s="17" t="n"/>
    </row>
    <row r="28" ht="17.25" customHeight="1" s="22">
      <c r="A28" s="15" t="inlineStr">
        <is>
          <t>Test independence</t>
        </is>
      </c>
      <c r="B28" s="17" t="inlineStr">
        <is>
          <t>Tests are run by QA, independent from the team that built the feature, which reduces confirmation bias.</t>
        </is>
      </c>
      <c r="C28" s="18" t="inlineStr">
        <is>
          <t>Confirmed</t>
        </is>
      </c>
      <c r="D28" s="17" t="n"/>
    </row>
    <row r="29" ht="44.25" customHeight="1" s="22">
      <c r="A29" s="15" t="inlineStr">
        <is>
          <t>Metrics to be collected</t>
        </is>
      </c>
      <c r="B29" s="17" t="inlineStr">
        <is>
          <t>(1) Cases executed vs planned; (2) cases passed, failed and blocked; (3) defects by severity; (4) open vs closed defects; (5) coverage of high-priority conditions; (6) overlap decision table rules validated, per existing notice (1st, 2nd, 3rd); (7) 'Existing booking' decision table rules validated; (8) state transitions covered; (9) booking block checked per period (3 of 3); (10) automated checks passed vs total.</t>
        </is>
      </c>
      <c r="C29" s="18" t="inlineStr">
        <is>
          <t>Confirmed</t>
        </is>
      </c>
      <c r="D29" s="17" t="n"/>
    </row>
    <row r="30" ht="98.25" customHeight="1" s="22">
      <c r="A30" s="15" t="inlineStr">
        <is>
          <t>Test data requirements</t>
        </is>
      </c>
      <c r="B30" s="17" t="inlineStr">
        <is>
          <t>(a) At least 6 fictional test providers with Provider App login on DEV, in these starting states: P1 no notice; P2 1 future notice; P3 3 notices (limit reached); P4 1 notice ongoing today plus past notices; P5 a notice created before the change (legacy); P6 bookings on chosen dates (rule 13);
(b) A table of dates relative to the execution day: yesterday, today, tomorrow, +7, +30, year boundary (2026-12-31 / 2027-01-01), leap day (2028-02-29);
(c) A test customer who can run the booking flow in the service area of the test providers;
(d) Test providers with existing bookings on chosen dates (before Start, on Start, inside, on End, after End) and in different statuses, for rule 13; a customer able to book a future date inside an already created vacation (A14);
(e) A way to see the automated messages (Backend logs or a manual trigger) for the mandatory open slots alert and availability reminder.</t>
        </is>
      </c>
      <c r="C30" s="18" t="inlineStr">
        <is>
          <t>Pendent</t>
        </is>
      </c>
      <c r="D30" s="17" t="inlineStr">
        <is>
          <t>Past dates are allowed, so 'Past' and 'Ongoing' notices can be created directly in the app.</t>
        </is>
      </c>
    </row>
    <row r="31" ht="44.25" customHeight="1" s="22">
      <c r="A31" s="15" t="inlineStr">
        <is>
          <t>Test environment requirements</t>
        </is>
      </c>
      <c r="B31" s="17" t="inlineStr">
        <is>
          <t>(1) Provider App DEV build installed on an iPhone (iOS only; version recorded for each run); (2) Admin in the test environment with access to the Vacation list; (3) Booking flow in the test environment (and the Customer App, if in scope); (4) API inspection (network tab or proxy) and Backend logs; (5) Playwright installed locally for the Admin and booking checks.</t>
        </is>
      </c>
      <c r="C31" s="18" t="inlineStr">
        <is>
          <t>Confirmed</t>
        </is>
      </c>
      <c r="D31" s="17" t="n"/>
    </row>
    <row r="32" ht="17.25" customHeight="1" s="22">
      <c r="A32" s="15" t="inlineStr">
        <is>
          <t>Deviations from policy or strategy</t>
        </is>
      </c>
      <c r="B32" s="17" t="inlineStr">
        <is>
          <t>None identified. Testware #002 is the format baseline.</t>
        </is>
      </c>
      <c r="C32" s="18" t="inlineStr">
        <is>
          <t>Confirmed</t>
        </is>
      </c>
      <c r="D32" s="17" t="n"/>
    </row>
    <row r="33" ht="15.75" customHeight="1" s="22"/>
    <row r="34" ht="19.5" customHeight="1" s="22">
      <c r="A34" s="25" t="inlineStr">
        <is>
          <t>6. BUDGET AND SCHEDULE</t>
        </is>
      </c>
    </row>
    <row r="35" ht="17.25" customHeight="1" s="22">
      <c r="A35" s="15" t="inlineStr">
        <is>
          <t>Budget</t>
        </is>
      </c>
      <c r="B35" s="17" t="inlineStr">
        <is>
          <t>Not applicable (internal effort, no extra tool cost).</t>
        </is>
      </c>
      <c r="C35" s="18" t="inlineStr">
        <is>
          <t>Confirmed</t>
        </is>
      </c>
      <c r="D35" s="17" t="n"/>
    </row>
    <row r="36" ht="17.25" customHeight="1" s="22">
      <c r="A36" s="15" t="inlineStr">
        <is>
          <t>Schedule</t>
        </is>
      </c>
      <c r="B36" s="17" t="inlineStr">
        <is>
          <t>4 working days: 2026-10-19 to 2026-10-22. See the 'Schedule' tab.</t>
        </is>
      </c>
      <c r="C36" s="18" t="inlineStr">
        <is>
          <t>Confirmed</t>
        </is>
      </c>
      <c r="D36" s="17" t="n"/>
    </row>
    <row r="37" ht="15.75" customHeight="1" s="22"/>
    <row r="38" ht="15.75" customHeight="1" s="22"/>
    <row r="39" ht="15.75" customHeight="1" s="22"/>
    <row r="40" ht="15.75" customHeight="1" s="22"/>
    <row r="41" ht="15.75" customHeight="1" s="22"/>
    <row r="42" ht="15.75" customHeight="1" s="22"/>
    <row r="43" ht="15.75" customHeight="1" s="22"/>
    <row r="44" ht="15.75" customHeight="1" s="22"/>
    <row r="45" ht="15.75" customHeight="1" s="22"/>
    <row r="46" ht="15.75" customHeight="1" s="22"/>
    <row r="47" ht="15.75" customHeight="1" s="22"/>
    <row r="48" ht="15.75" customHeight="1" s="22"/>
    <row r="49" ht="15.75" customHeight="1" s="22"/>
    <row r="50" ht="15.75" customHeight="1" s="22"/>
    <row r="51" ht="15.75" customHeight="1" s="22"/>
    <row r="52" ht="15.75" customHeight="1" s="22"/>
    <row r="53" ht="15.75" customHeight="1" s="22"/>
    <row r="54" ht="15.75" customHeight="1" s="22"/>
    <row r="55" ht="15.75" customHeight="1" s="22"/>
    <row r="56" ht="15.75" customHeight="1" s="22"/>
    <row r="57" ht="15.75" customHeight="1" s="22"/>
    <row r="58" ht="15.75" customHeight="1" s="22"/>
    <row r="59" ht="15.75" customHeight="1" s="22"/>
    <row r="60" ht="15.75" customHeight="1" s="22"/>
    <row r="61" ht="15.75" customHeight="1" s="22"/>
    <row r="62" ht="15.75" customHeight="1" s="22"/>
    <row r="63" ht="15.75" customHeight="1" s="22"/>
    <row r="64" ht="15.75" customHeight="1" s="22"/>
    <row r="65" ht="15.75" customHeight="1" s="22"/>
    <row r="66" ht="15.75" customHeight="1" s="22"/>
    <row r="67" ht="15.75" customHeight="1" s="22"/>
    <row r="68" ht="15.75" customHeight="1" s="22"/>
    <row r="69" ht="15.75" customHeight="1" s="22"/>
    <row r="70" ht="15.75" customHeight="1" s="22"/>
    <row r="71" ht="15.75" customHeight="1" s="22"/>
    <row r="72" ht="15.75" customHeight="1" s="22"/>
    <row r="73" ht="15.75" customHeight="1" s="22"/>
    <row r="74" ht="15.75" customHeight="1" s="22"/>
    <row r="75" ht="15.75" customHeight="1" s="22"/>
    <row r="76" ht="15.75" customHeight="1" s="22"/>
    <row r="77" ht="15.75" customHeight="1" s="22"/>
    <row r="78" ht="15.75" customHeight="1" s="22"/>
    <row r="79" ht="15.75" customHeight="1" s="22"/>
    <row r="80" ht="15.75" customHeight="1" s="22"/>
    <row r="81" ht="15.75" customHeight="1" s="22"/>
    <row r="82" ht="15.75" customHeight="1" s="22"/>
    <row r="83" ht="15.75" customHeight="1" s="22"/>
    <row r="84" ht="15.75" customHeight="1" s="22"/>
    <row r="85" ht="15.75" customHeight="1" s="22"/>
    <row r="86" ht="15.75" customHeight="1" s="22"/>
    <row r="87" ht="15.75" customHeight="1" s="22"/>
    <row r="88" ht="15.75" customHeight="1" s="22"/>
    <row r="89" ht="15.75" customHeight="1" s="22"/>
    <row r="90" ht="15.75" customHeight="1" s="22"/>
    <row r="91" ht="15.75" customHeight="1" s="22"/>
    <row r="92" ht="15.75" customHeight="1" s="22"/>
    <row r="93" ht="15.75" customHeight="1" s="22"/>
    <row r="94" ht="15.75" customHeight="1" s="22"/>
    <row r="95" ht="15.75" customHeight="1" s="22"/>
    <row r="96" ht="15.75" customHeight="1" s="22"/>
    <row r="97" ht="15.75" customHeight="1" s="22"/>
    <row r="98" ht="15.75" customHeight="1" s="22"/>
    <row r="99" ht="15.75" customHeight="1" s="22"/>
    <row r="100" ht="15.75" customHeight="1" s="22"/>
    <row r="101" ht="15.75" customHeight="1" s="22"/>
    <row r="102" ht="15.75" customHeight="1" s="22"/>
    <row r="103" ht="15.75" customHeight="1" s="22"/>
    <row r="104" ht="15.75" customHeight="1" s="22"/>
    <row r="105" ht="15.75" customHeight="1" s="22"/>
    <row r="106" ht="15.75" customHeight="1" s="22"/>
    <row r="107" ht="15.75" customHeight="1" s="22"/>
    <row r="108" ht="15.75" customHeight="1" s="22"/>
    <row r="109" ht="15.75" customHeight="1" s="22"/>
    <row r="110" ht="15.75" customHeight="1" s="22"/>
    <row r="111" ht="15.75" customHeight="1" s="22"/>
    <row r="112" ht="15.75" customHeight="1" s="22"/>
    <row r="113" ht="15.75" customHeight="1" s="22"/>
    <row r="114" ht="15.75" customHeight="1" s="22"/>
    <row r="115" ht="15.75" customHeight="1" s="22"/>
    <row r="116" ht="15.75" customHeight="1" s="22"/>
    <row r="117" ht="15.75" customHeight="1" s="22"/>
    <row r="118" ht="15.75" customHeight="1" s="22"/>
    <row r="119" ht="15.75" customHeight="1" s="22"/>
    <row r="120" ht="15.75" customHeight="1" s="22"/>
    <row r="121" ht="15.75" customHeight="1" s="22"/>
    <row r="122" ht="15.75" customHeight="1" s="22"/>
    <row r="123" ht="15.75" customHeight="1" s="22"/>
    <row r="124" ht="15.75" customHeight="1" s="22"/>
    <row r="125" ht="15.75" customHeight="1" s="22"/>
    <row r="126" ht="15.75" customHeight="1" s="22"/>
    <row r="127" ht="15.75" customHeight="1" s="22"/>
    <row r="128" ht="15.75" customHeight="1" s="22"/>
    <row r="129" ht="15.75" customHeight="1" s="22"/>
    <row r="130" ht="15.75" customHeight="1" s="22"/>
    <row r="131" ht="15.75" customHeight="1" s="22"/>
    <row r="132" ht="15.75" customHeight="1" s="22"/>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mergeCells count="7">
    <mergeCell ref="A1:D1"/>
    <mergeCell ref="A18:D18"/>
    <mergeCell ref="A2:B2"/>
    <mergeCell ref="A8:D8"/>
    <mergeCell ref="A22:D22"/>
    <mergeCell ref="A34:D34"/>
    <mergeCell ref="A12:D12"/>
  </mergeCells>
  <conditionalFormatting sqref="C3:C1000">
    <cfRule type="expression" priority="1" dxfId="3">
      <formula>EXACT(C3,"Confirmed")</formula>
    </cfRule>
    <cfRule type="expression" priority="2" dxfId="4">
      <formula>EXACT(C3,"To confirm")</formula>
    </cfRule>
    <cfRule type="expression" priority="3" dxfId="5">
      <formula>EXACT(C3,"Pendent")</formula>
    </cfRule>
  </conditionalFormatting>
  <dataValidations count="1">
    <dataValidation sqref="C3:C6 C9:C10 C13:C16 C19:C20 C23:C32 C35:C36" showDropDown="0" showInputMessage="0" showErrorMessage="0" allowBlank="1" type="list">
      <formula1>"Pendent,To confirm,Confirmed"</formula1>
    </dataValidation>
  </dataValidations>
  <hyperlinks>
    <hyperlink xmlns:r="http://schemas.openxmlformats.org/officeDocument/2006/relationships" ref="A2" r:id="rId1"/>
  </hyperlinks>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H13"/>
  <sheetViews>
    <sheetView showGridLines="0" workbookViewId="0">
      <selection activeCell="A1" sqref="A1"/>
    </sheetView>
  </sheetViews>
  <sheetFormatPr baseColWidth="8" defaultColWidth="14.43" defaultRowHeight="15" customHeight="1"/>
  <cols>
    <col width="6" customWidth="1" style="22" min="1" max="1"/>
    <col width="24" customWidth="1" style="22" min="2" max="2"/>
    <col width="74" customWidth="1" style="22" min="3" max="3"/>
    <col width="17" customWidth="1" style="22" min="4" max="4"/>
    <col width="15" customWidth="1" style="22" min="5" max="8"/>
    <col width="8.710000000000001" customWidth="1" style="22" min="9" max="26"/>
  </cols>
  <sheetData>
    <row r="1" ht="24" customHeight="1" s="22">
      <c r="A1" s="23" t="inlineStr">
        <is>
          <t>TESTWARE #003: TEST SCHEDULE</t>
        </is>
      </c>
    </row>
    <row r="2" ht="27.75" customHeight="1" s="22">
      <c r="A2" s="26" t="inlineStr">
        <is>
          <t>Total planned time: 4 working days (2026-10-19 to 2026-10-22). Fill in actual dates in the yellow cells. Duration counts working days (Monday to Friday) between the start and end dates.</t>
        </is>
      </c>
    </row>
    <row r="3"/>
    <row r="4">
      <c r="A4" s="6" t="inlineStr">
        <is>
          <t>Step</t>
        </is>
      </c>
      <c r="B4" s="6" t="inlineStr">
        <is>
          <t>Phase (ISO 29119-2)</t>
        </is>
      </c>
      <c r="C4" s="6" t="inlineStr">
        <is>
          <t>Activity</t>
        </is>
      </c>
      <c r="D4" s="6" t="inlineStr">
        <is>
          <t>Owner</t>
        </is>
      </c>
      <c r="E4" s="6" t="inlineStr">
        <is>
          <t>Start</t>
        </is>
      </c>
      <c r="F4" s="6" t="inlineStr">
        <is>
          <t>End</t>
        </is>
      </c>
      <c r="G4" s="6" t="inlineStr">
        <is>
          <t>Duration (days)</t>
        </is>
      </c>
      <c r="H4" s="6" t="inlineStr">
        <is>
          <t>Status</t>
        </is>
      </c>
    </row>
    <row r="5" ht="30.75" customHeight="1" s="22">
      <c r="A5" s="17" t="n">
        <v>1</v>
      </c>
      <c r="B5" s="17" t="inlineStr">
        <is>
          <t>Test Planning</t>
        </is>
      </c>
      <c r="C5" s="17" t="inlineStr">
        <is>
          <t>Draft the Test Plan, Schedule, Risk Register and Entry/Exit Criteria. Send the open assumptions (A1b to A14) to the stakeholders.</t>
        </is>
      </c>
      <c r="D5" s="17" t="inlineStr">
        <is>
          <t>QA Analyst</t>
        </is>
      </c>
      <c r="E5" s="10" t="n">
        <v>46314</v>
      </c>
      <c r="F5" s="10" t="n">
        <v>46314</v>
      </c>
      <c r="G5" s="17">
        <f>NETWORKDAYS(E5,F5)</f>
        <v/>
      </c>
      <c r="H5" s="17" t="inlineStr">
        <is>
          <t>In progress</t>
        </is>
      </c>
    </row>
    <row r="6" ht="57.75" customHeight="1" s="22">
      <c r="A6" s="17" t="n">
        <v>2</v>
      </c>
      <c r="B6" s="17" t="inlineStr">
        <is>
          <t>Test Analysis</t>
        </is>
      </c>
      <c r="C6" s="17" t="inlineStr">
        <is>
          <t>Derive test conditions from the PRD and the feature description. Build the 'Overlap' and 'Existing booking' decision tables, the state transition models (number of notices; Future &gt; Ongoing &gt; Past) and the boundary dates. Prioritize by risk, coverage and requirement.</t>
        </is>
      </c>
      <c r="D6" s="17" t="inlineStr">
        <is>
          <t>QA Analyst</t>
        </is>
      </c>
      <c r="E6" s="10" t="n">
        <v>46314</v>
      </c>
      <c r="F6" s="10" t="n">
        <v>46315</v>
      </c>
      <c r="G6" s="17">
        <f>NETWORKDAYS(E6,F6)</f>
        <v/>
      </c>
      <c r="H6" s="17" t="inlineStr">
        <is>
          <t>Not started</t>
        </is>
      </c>
    </row>
    <row r="7" ht="30.75" customHeight="1" s="22">
      <c r="A7" s="17" t="n">
        <v>3</v>
      </c>
      <c r="B7" s="17" t="inlineStr">
        <is>
          <t>Test Design</t>
        </is>
      </c>
      <c r="C7" s="17" t="inlineStr">
        <is>
          <t>Write test cases, charters, coverage items, test data requirements and environment requirements.</t>
        </is>
      </c>
      <c r="D7" s="17" t="inlineStr">
        <is>
          <t>QA Analyst</t>
        </is>
      </c>
      <c r="E7" s="10" t="n">
        <v>46315</v>
      </c>
      <c r="F7" s="10" t="n">
        <v>46315</v>
      </c>
      <c r="G7" s="17">
        <f>NETWORKDAYS(E7,F7)</f>
        <v/>
      </c>
      <c r="H7" s="17" t="inlineStr">
        <is>
          <t>Not started</t>
        </is>
      </c>
    </row>
    <row r="8" ht="57.75" customHeight="1" s="22">
      <c r="A8" s="17" t="n">
        <v>4</v>
      </c>
      <c r="B8" s="17" t="inlineStr">
        <is>
          <t>Test Implementation</t>
        </is>
      </c>
      <c r="C8" s="17" t="inlineStr">
        <is>
          <t>Build test sets and procedures. Create the test providers in their starting states (P1 to P6), the bookings for rule 13 and the date table. Create the first Playwright checks (Admin Vacation list, booking flow). Run the entry-criteria smoke test (create, list and delete one notice; see it in the Admin).</t>
        </is>
      </c>
      <c r="D8" s="17" t="inlineStr">
        <is>
          <t>QA Analyst</t>
        </is>
      </c>
      <c r="E8" s="10" t="n">
        <v>46315</v>
      </c>
      <c r="F8" s="10" t="n">
        <v>46316</v>
      </c>
      <c r="G8" s="17">
        <f>NETWORKDAYS(E8,F8)</f>
        <v/>
      </c>
      <c r="H8" s="17" t="inlineStr">
        <is>
          <t>Not started</t>
        </is>
      </c>
    </row>
    <row r="9" ht="57.75" customHeight="1" s="22">
      <c r="A9" s="17" t="n">
        <v>5</v>
      </c>
      <c r="B9" s="17" t="inlineStr">
        <is>
          <t>Test Execution</t>
        </is>
      </c>
      <c r="C9" s="17" t="inlineStr">
        <is>
          <t>Run the high priority sets: limit of 3 and state transitions, 'Overlap' decision table against the 1st, 2nd and 3rd notice, 'Existing booking' decision table (rule 13), deletion (first, middle, last, ongoing), booking block while each of the 3 periods is ongoing, booking inside a future vacation (A14). iOS. Log defects.</t>
        </is>
      </c>
      <c r="D9" s="17" t="inlineStr">
        <is>
          <t>QA Analyst</t>
        </is>
      </c>
      <c r="E9" s="10" t="n">
        <v>46316</v>
      </c>
      <c r="F9" s="10" t="n">
        <v>46316</v>
      </c>
      <c r="G9" s="17">
        <f>NETWORKDAYS(E9,F9)</f>
        <v/>
      </c>
      <c r="H9" s="17" t="inlineStr">
        <is>
          <t>Not started</t>
        </is>
      </c>
    </row>
    <row r="10" ht="44.25" customHeight="1" s="22">
      <c r="A10" s="17" t="n">
        <v>6</v>
      </c>
      <c r="B10" s="17" t="inlineStr">
        <is>
          <t>Test Execution (cont.)</t>
        </is>
      </c>
      <c r="C10" s="17" t="inlineStr">
        <is>
          <t>Run the medium and low priority sets: lists and tags, time transitions, automated messages, Admin list and palm tree icon, robustness (double tap, two devices), regression of the single-vacation flow and legacy notices, charters. Retest fixed defects.</t>
        </is>
      </c>
      <c r="D10" s="17" t="inlineStr">
        <is>
          <t>QA Analyst</t>
        </is>
      </c>
      <c r="E10" s="10" t="n">
        <v>46317</v>
      </c>
      <c r="F10" s="10" t="n">
        <v>46317</v>
      </c>
      <c r="G10" s="17">
        <f>NETWORKDAYS(E10,F10)</f>
        <v/>
      </c>
      <c r="H10" s="17" t="inlineStr">
        <is>
          <t>Not started</t>
        </is>
      </c>
    </row>
    <row r="11" ht="30.75" customHeight="1" s="22">
      <c r="A11" s="17" t="n">
        <v>7</v>
      </c>
      <c r="B11" s="17" t="inlineStr">
        <is>
          <t>Test Completion</t>
        </is>
      </c>
      <c r="C11" s="17" t="inlineStr">
        <is>
          <t>Consolidate metrics, write the Test Completion Report, lessons learned and improvement actions. Validate the exit criteria.</t>
        </is>
      </c>
      <c r="D11" s="17" t="inlineStr">
        <is>
          <t>QA Analyst</t>
        </is>
      </c>
      <c r="E11" s="10" t="n">
        <v>46317</v>
      </c>
      <c r="F11" s="10" t="n">
        <v>46317</v>
      </c>
      <c r="G11" s="17">
        <f>NETWORKDAYS(E11,F11)</f>
        <v/>
      </c>
      <c r="H11" s="17" t="inlineStr">
        <is>
          <t>Not started</t>
        </is>
      </c>
    </row>
    <row r="12"/>
    <row r="13">
      <c r="D13" s="7" t="inlineStr">
        <is>
          <t>Total elapsed days</t>
        </is>
      </c>
      <c r="E13" s="21">
        <f>MIN(E5:E11)</f>
        <v/>
      </c>
      <c r="F13" s="21">
        <f>MAX(F5:F11)</f>
        <v/>
      </c>
      <c r="G13" s="15">
        <f>NETWORKDAYS(E13,F13)</f>
        <v/>
      </c>
    </row>
    <row r="21" ht="15.75" customHeight="1" s="22"/>
    <row r="22" ht="15.75" customHeight="1" s="22"/>
    <row r="23" ht="15.75" customHeight="1" s="22"/>
    <row r="24" ht="15.75" customHeight="1" s="22"/>
    <row r="25" ht="15.75" customHeight="1" s="22"/>
    <row r="26" ht="15.75" customHeight="1" s="22"/>
    <row r="27" ht="15.75" customHeight="1" s="22"/>
    <row r="28" ht="15.75" customHeight="1" s="22"/>
    <row r="29" ht="15.75" customHeight="1" s="22"/>
    <row r="30" ht="15.75" customHeight="1" s="22"/>
    <row r="31" ht="15.75" customHeight="1" s="22"/>
    <row r="32" ht="15.75" customHeight="1" s="22"/>
    <row r="33" ht="15.75" customHeight="1" s="22"/>
    <row r="34" ht="15.75" customHeight="1" s="22"/>
    <row r="35" ht="15.75" customHeight="1" s="22"/>
    <row r="36" ht="15.75" customHeight="1" s="22"/>
    <row r="37" ht="15.75" customHeight="1" s="22"/>
    <row r="38" ht="15.75" customHeight="1" s="22"/>
    <row r="39" ht="15.75" customHeight="1" s="22"/>
    <row r="40" ht="15.75" customHeight="1" s="22"/>
    <row r="41" ht="15.75" customHeight="1" s="22"/>
    <row r="42" ht="15.75" customHeight="1" s="22"/>
    <row r="43" ht="15.75" customHeight="1" s="22"/>
    <row r="44" ht="15.75" customHeight="1" s="22"/>
    <row r="45" ht="15.75" customHeight="1" s="22"/>
    <row r="46" ht="15.75" customHeight="1" s="22"/>
    <row r="47" ht="15.75" customHeight="1" s="22"/>
    <row r="48" ht="15.75" customHeight="1" s="22"/>
    <row r="49" ht="15.75" customHeight="1" s="22"/>
    <row r="50" ht="15.75" customHeight="1" s="22"/>
    <row r="51" ht="15.75" customHeight="1" s="22"/>
    <row r="52" ht="15.75" customHeight="1" s="22"/>
    <row r="53" ht="15.75" customHeight="1" s="22"/>
    <row r="54" ht="15.75" customHeight="1" s="22"/>
    <row r="55" ht="15.75" customHeight="1" s="22"/>
    <row r="56" ht="15.75" customHeight="1" s="22"/>
    <row r="57" ht="15.75" customHeight="1" s="22"/>
    <row r="58" ht="15.75" customHeight="1" s="22"/>
    <row r="59" ht="15.75" customHeight="1" s="22"/>
    <row r="60" ht="15.75" customHeight="1" s="22"/>
    <row r="61" ht="15.75" customHeight="1" s="22"/>
    <row r="62" ht="15.75" customHeight="1" s="22"/>
    <row r="63" ht="15.75" customHeight="1" s="22"/>
    <row r="64" ht="15.75" customHeight="1" s="22"/>
    <row r="65" ht="15.75" customHeight="1" s="22"/>
    <row r="66" ht="15.75" customHeight="1" s="22"/>
    <row r="67" ht="15.75" customHeight="1" s="22"/>
    <row r="68" ht="15.75" customHeight="1" s="22"/>
    <row r="69" ht="15.75" customHeight="1" s="22"/>
    <row r="70" ht="15.75" customHeight="1" s="22"/>
    <row r="71" ht="15.75" customHeight="1" s="22"/>
    <row r="72" ht="15.75" customHeight="1" s="22"/>
    <row r="73" ht="15.75" customHeight="1" s="22"/>
    <row r="74" ht="15.75" customHeight="1" s="22"/>
    <row r="75" ht="15.75" customHeight="1" s="22"/>
    <row r="76" ht="15.75" customHeight="1" s="22"/>
    <row r="77" ht="15.75" customHeight="1" s="22"/>
    <row r="78" ht="15.75" customHeight="1" s="22"/>
    <row r="79" ht="15.75" customHeight="1" s="22"/>
    <row r="80" ht="15.75" customHeight="1" s="22"/>
    <row r="81" ht="15.75" customHeight="1" s="22"/>
    <row r="82" ht="15.75" customHeight="1" s="22"/>
    <row r="83" ht="15.75" customHeight="1" s="22"/>
    <row r="84" ht="15.75" customHeight="1" s="22"/>
    <row r="85" ht="15.75" customHeight="1" s="22"/>
    <row r="86" ht="15.75" customHeight="1" s="22"/>
    <row r="87" ht="15.75" customHeight="1" s="22"/>
    <row r="88" ht="15.75" customHeight="1" s="22"/>
    <row r="89" ht="15.75" customHeight="1" s="22"/>
    <row r="90" ht="15.75" customHeight="1" s="22"/>
    <row r="91" ht="15.75" customHeight="1" s="22"/>
    <row r="92" ht="15.75" customHeight="1" s="22"/>
    <row r="93" ht="15.75" customHeight="1" s="22"/>
    <row r="94" ht="15.75" customHeight="1" s="22"/>
    <row r="95" ht="15.75" customHeight="1" s="22"/>
    <row r="96" ht="15.75" customHeight="1" s="22"/>
    <row r="97" ht="15.75" customHeight="1" s="22"/>
    <row r="98" ht="15.75" customHeight="1" s="22"/>
    <row r="99" ht="15.75" customHeight="1" s="22"/>
    <row r="100" ht="15.75" customHeight="1" s="22"/>
    <row r="101" ht="15.75" customHeight="1" s="22"/>
    <row r="102" ht="15.75" customHeight="1" s="22"/>
    <row r="103" ht="15.75" customHeight="1" s="22"/>
    <row r="104" ht="15.75" customHeight="1" s="22"/>
    <row r="105" ht="15.75" customHeight="1" s="22"/>
    <row r="106" ht="15.75" customHeight="1" s="22"/>
    <row r="107" ht="15.75" customHeight="1" s="22"/>
    <row r="108" ht="15.75" customHeight="1" s="22"/>
    <row r="109" ht="15.75" customHeight="1" s="22"/>
    <row r="110" ht="15.75" customHeight="1" s="22"/>
    <row r="111" ht="15.75" customHeight="1" s="22"/>
    <row r="112" ht="15.75" customHeight="1" s="22"/>
    <row r="113" ht="15.75" customHeight="1" s="22"/>
    <row r="114" ht="15.75" customHeight="1" s="22"/>
    <row r="115" ht="15.75" customHeight="1" s="22"/>
    <row r="116" ht="15.75" customHeight="1" s="22"/>
    <row r="117" ht="15.75" customHeight="1" s="22"/>
    <row r="118" ht="15.75" customHeight="1" s="22"/>
    <row r="119" ht="15.75" customHeight="1" s="22"/>
    <row r="120" ht="15.75" customHeight="1" s="22"/>
    <row r="121" ht="15.75" customHeight="1" s="22"/>
    <row r="122" ht="15.75" customHeight="1" s="22"/>
    <row r="123" ht="15.75" customHeight="1" s="22"/>
    <row r="124" ht="15.75" customHeight="1" s="22"/>
    <row r="125" ht="15.75" customHeight="1" s="22"/>
    <row r="126" ht="15.75" customHeight="1" s="22"/>
    <row r="127" ht="15.75" customHeight="1" s="22"/>
    <row r="128" ht="15.75" customHeight="1" s="22"/>
    <row r="129" ht="15.75" customHeight="1" s="22"/>
    <row r="130" ht="15.75" customHeight="1" s="22"/>
    <row r="131" ht="15.75" customHeight="1" s="22"/>
    <row r="132" ht="15.75" customHeight="1" s="22"/>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mergeCells count="2">
    <mergeCell ref="A2:H2"/>
    <mergeCell ref="A1:H1"/>
  </mergeCells>
  <conditionalFormatting sqref="H5:H11">
    <cfRule type="expression" priority="1" dxfId="0">
      <formula>EXACT(H5,"Completed")</formula>
    </cfRule>
    <cfRule type="expression" priority="2" dxfId="1">
      <formula>EXACT(H5,"In progress")</formula>
    </cfRule>
    <cfRule type="expression" priority="3" dxfId="2">
      <formula>EXACT(H5,"Not started")</formula>
    </cfRule>
  </conditionalFormatting>
  <dataValidations count="1">
    <dataValidation sqref="H5:H11" showDropDown="0" showInputMessage="0" showErrorMessage="0" allowBlank="1" type="list">
      <formula1>"Not started,In progress,Completed"</formula1>
    </dataValidation>
  </dataValidations>
  <pageMargins left="0.75" right="0.75" top="1" bottom="1" header="0" footer="0"/>
  <pageSetup orientation="landscape"/>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J29"/>
  <sheetViews>
    <sheetView showGridLines="0" workbookViewId="0">
      <pane ySplit="6" topLeftCell="A7" activePane="bottomLeft" state="frozen"/>
      <selection pane="bottomLeft" activeCell="B8" sqref="B8"/>
    </sheetView>
  </sheetViews>
  <sheetFormatPr baseColWidth="8" defaultColWidth="14.43" defaultRowHeight="15" customHeight="1"/>
  <cols>
    <col width="17" customWidth="1" style="22" min="1" max="1"/>
    <col width="11" customWidth="1" style="22" min="2" max="2"/>
    <col width="60" customWidth="1" style="22" min="3" max="3"/>
    <col width="14" customWidth="1" style="22" min="4" max="4"/>
    <col width="11" customWidth="1" style="22" min="5" max="5"/>
    <col width="10" customWidth="1" style="22" min="6" max="6"/>
    <col width="12" customWidth="1" style="22" min="7" max="7"/>
    <col width="60" customWidth="1" style="22" min="8" max="8"/>
    <col width="13" customWidth="1" style="22" min="9" max="9"/>
    <col width="23" customWidth="1" style="22" min="10" max="10"/>
    <col width="8.710000000000001" customWidth="1" style="22" min="11" max="26"/>
  </cols>
  <sheetData>
    <row r="1" ht="24" customHeight="1" s="22">
      <c r="A1" s="23" t="inlineStr">
        <is>
          <t>TESTWARE #003: RISK REGISTER (RISK-BASED TESTING)</t>
        </is>
      </c>
    </row>
    <row r="2">
      <c r="A2" s="26" t="inlineStr">
        <is>
          <t>Score = Probability x Impact (scale 1 to 5). Test priority follows the score, highest first. Blue cells are inputs you can change; Score and Level are formulas.</t>
        </is>
      </c>
    </row>
    <row r="3">
      <c r="A3" s="7" t="inlineStr">
        <is>
          <t>High level score</t>
        </is>
      </c>
      <c r="B3" s="9" t="n">
        <v>15</v>
      </c>
    </row>
    <row r="4">
      <c r="A4" s="7" t="inlineStr">
        <is>
          <t>Medium level score</t>
        </is>
      </c>
      <c r="B4" s="9" t="n">
        <v>8</v>
      </c>
    </row>
    <row r="5"/>
    <row r="6">
      <c r="A6" s="6" t="inlineStr">
        <is>
          <t>ID</t>
        </is>
      </c>
      <c r="B6" s="6" t="inlineStr">
        <is>
          <t>Category</t>
        </is>
      </c>
      <c r="C6" s="6" t="inlineStr">
        <is>
          <t>Risk description</t>
        </is>
      </c>
      <c r="D6" s="12" t="inlineStr">
        <is>
          <t>Probability (1-5)</t>
        </is>
      </c>
      <c r="E6" s="12" t="inlineStr">
        <is>
          <t>Impact (1-5)</t>
        </is>
      </c>
      <c r="F6" s="12" t="inlineStr">
        <is>
          <t>Score</t>
        </is>
      </c>
      <c r="G6" s="12" t="inlineStr">
        <is>
          <t>Level</t>
        </is>
      </c>
      <c r="H6" s="6" t="inlineStr">
        <is>
          <t>Mitigation / control action</t>
        </is>
      </c>
      <c r="I6" s="6" t="inlineStr">
        <is>
          <t>Status</t>
        </is>
      </c>
      <c r="J6" s="6" t="inlineStr">
        <is>
          <t>Owner</t>
        </is>
      </c>
    </row>
    <row r="7" ht="57.75" customHeight="1" s="22">
      <c r="A7" s="17" t="inlineStr">
        <is>
          <t>R1</t>
        </is>
      </c>
      <c r="B7" s="17" t="inlineStr">
        <is>
          <t>Product</t>
        </is>
      </c>
      <c r="C7" s="17" t="inlineStr">
        <is>
          <t>The limit of 3 is enforced only by the app screen: a double tap on Submit, two devices at the same time, or a direct API call creates a 4th notice or a duplicate.</t>
        </is>
      </c>
      <c r="D7" s="16" t="n">
        <v>3</v>
      </c>
      <c r="E7" s="16" t="n">
        <v>4</v>
      </c>
      <c r="F7" s="19">
        <f>D7*E7</f>
        <v/>
      </c>
      <c r="G7" s="19">
        <f>IF(F7&gt;=$B$3,"High",IF(F7&gt;=$B$4,"Medium","Low"))</f>
        <v/>
      </c>
      <c r="H7" s="17" t="inlineStr">
        <is>
          <t>Double tap on Submit; two sessions of the same provider (two iPhones, or app and API) with 2 notices submit at the same time; check the count in the API and in the Admin. Ask Backend if the API validates the limit (A7).</t>
        </is>
      </c>
      <c r="I7" s="17" t="inlineStr">
        <is>
          <t>Open</t>
        </is>
      </c>
      <c r="J7" s="17" t="inlineStr">
        <is>
          <t>QA + Backend</t>
        </is>
      </c>
    </row>
    <row r="8" ht="71.25" customHeight="1" s="22">
      <c r="A8" s="17" t="inlineStr">
        <is>
          <t>R2</t>
        </is>
      </c>
      <c r="B8" s="17" t="inlineStr">
        <is>
          <t>Product</t>
        </is>
      </c>
      <c r="C8" s="17" t="inlineStr">
        <is>
          <t>The overlap rule only rejects a period 'contained' in another one: partial overlaps, identical periods, a new period that contains an existing one, periods touching on the same day (not allowed, rule 11), or overlaps with the 2nd or 3rd notice are accepted (rule written for a single notice).</t>
        </is>
      </c>
      <c r="D8" s="16" t="n">
        <v>4</v>
      </c>
      <c r="E8" s="16" t="n">
        <v>5</v>
      </c>
      <c r="F8" s="19">
        <f>D8*E8</f>
        <v/>
      </c>
      <c r="G8" s="19">
        <f>IF(F8&gt;=$B$3,"High",IF(F8&gt;=$B$4,"Medium","Low"))</f>
        <v/>
      </c>
      <c r="H8" s="17" t="inlineStr">
        <is>
          <t>Run the 'Overlap' decision table against the 1st, 2nd and 3rd existing notice, not only the first. Include 'touching on the same day' (must be rejected) and 'consecutive, next day' (A2b).</t>
        </is>
      </c>
      <c r="I8" s="17" t="inlineStr">
        <is>
          <t>Open</t>
        </is>
      </c>
      <c r="J8" s="17" t="inlineStr">
        <is>
          <t>QA + Backend</t>
        </is>
      </c>
    </row>
    <row r="9" ht="57.75" customHeight="1" s="22">
      <c r="A9" s="17" t="inlineStr">
        <is>
          <t>R3</t>
        </is>
      </c>
      <c r="B9" s="17" t="inlineStr">
        <is>
          <t>Product</t>
        </is>
      </c>
      <c r="C9" s="17" t="inlineStr">
        <is>
          <t>The booking block was built for a single vacation: it only works for the first or nearest notice, so the provider stays bookable while the 2nd or 3rd period is ongoing (or stays hidden after a vacation ends).</t>
        </is>
      </c>
      <c r="D9" s="16" t="n">
        <v>4</v>
      </c>
      <c r="E9" s="16" t="n">
        <v>5</v>
      </c>
      <c r="F9" s="19">
        <f>D9*E9</f>
        <v/>
      </c>
      <c r="G9" s="19">
        <f>IF(F9&gt;=$B$3,"High",IF(F9&gt;=$B$4,"Medium","Low"))</f>
        <v/>
      </c>
      <c r="H9" s="17" t="inlineStr">
        <is>
          <t>Provider with 3 notices: while each one is ongoing (create them with past and current dates, or ask Backend to move the server date), check that the provider is hidden in the schedule step; check that the provider is listed again on the day after the End Date.</t>
        </is>
      </c>
      <c r="I9" s="17" t="inlineStr">
        <is>
          <t>Open</t>
        </is>
      </c>
      <c r="J9" s="17" t="inlineStr">
        <is>
          <t>QA + Backend</t>
        </is>
      </c>
    </row>
    <row r="10" ht="44.25" customHeight="1" s="22">
      <c r="A10" s="17" t="inlineStr">
        <is>
          <t>R4</t>
        </is>
      </c>
      <c r="B10" s="17" t="inlineStr">
        <is>
          <t>Product</t>
        </is>
      </c>
      <c r="C10" s="17" t="inlineStr">
        <is>
          <t>Date and time zone boundaries: wrong 'Ongoing' tag, palm tree icon or booking block on the Start or End day, around midnight, or when the provider time zone differs from the server (UTC).</t>
        </is>
      </c>
      <c r="D10" s="16" t="n">
        <v>3</v>
      </c>
      <c r="E10" s="16" t="n">
        <v>4</v>
      </c>
      <c r="F10" s="19">
        <f>D10*E10</f>
        <v/>
      </c>
      <c r="G10" s="19">
        <f>IF(F10&gt;=$B$3,"High",IF(F10&gt;=$B$4,"Medium","Low"))</f>
        <v/>
      </c>
      <c r="H10" s="17" t="inlineStr">
        <is>
          <t>Notice with Start = End = today; check just after local midnight; compare the dates stored in the API with the screens. Confirm A3.</t>
        </is>
      </c>
      <c r="I10" s="17" t="inlineStr">
        <is>
          <t>Open</t>
        </is>
      </c>
      <c r="J10" s="17" t="inlineStr">
        <is>
          <t>QA + Backend</t>
        </is>
      </c>
    </row>
    <row r="11" ht="57.75" customHeight="1" s="22">
      <c r="A11" s="17" t="inlineStr">
        <is>
          <t>R5</t>
        </is>
      </c>
      <c r="B11" s="17" t="inlineStr">
        <is>
          <t>Product</t>
        </is>
      </c>
      <c r="C11" s="17" t="inlineStr">
        <is>
          <t>The Admin Vacation list does not match the app: deleted notices still listed, missing rows, wrong provider, or wrong total days (the screenshot suggests Days = End - Start, one day short of an inclusive count).</t>
        </is>
      </c>
      <c r="D11" s="16" t="n">
        <v>4</v>
      </c>
      <c r="E11" s="16" t="n">
        <v>3</v>
      </c>
      <c r="F11" s="19">
        <f>D11*E11</f>
        <v/>
      </c>
      <c r="G11" s="19">
        <f>IF(F11&gt;=$B$3,"High",IF(F11&gt;=$B$4,"Medium","Low"))</f>
        <v/>
      </c>
      <c r="H11" s="17" t="inlineStr">
        <is>
          <t>After each create and delete, compare app and Admin. Check the Days value with an inclusive count, across a month end and the leap day. Confirm A4 and A11.</t>
        </is>
      </c>
      <c r="I11" s="17" t="inlineStr">
        <is>
          <t>Open</t>
        </is>
      </c>
      <c r="J11" s="17" t="inlineStr">
        <is>
          <t>QA + Backend</t>
        </is>
      </c>
    </row>
    <row r="12" ht="44.25" customHeight="1" s="22">
      <c r="A12" s="17" t="inlineStr">
        <is>
          <t>R6</t>
        </is>
      </c>
      <c r="B12" s="17" t="inlineStr">
        <is>
          <t>Product</t>
        </is>
      </c>
      <c r="C12" s="17" t="inlineStr">
        <is>
          <t>The counter of notices is wrong after a delete or after a notice becomes 'Past': the Add button stays disabled, the limit message stays, or a 4th active notice is accepted.</t>
        </is>
      </c>
      <c r="D12" s="16" t="n">
        <v>3</v>
      </c>
      <c r="E12" s="16" t="n">
        <v>4</v>
      </c>
      <c r="F12" s="19">
        <f>D12*E12</f>
        <v/>
      </c>
      <c r="G12" s="19">
        <f>IF(F12&gt;=$B$3,"High",IF(F12&gt;=$B$4,"Medium","Low"))</f>
        <v/>
      </c>
      <c r="H12" s="17" t="inlineStr">
        <is>
          <t>State transition tests 3 &gt; delete &gt; 2 &gt; add &gt; 3; a notice that ended yesterday next to 2 future ones. Confirm A1 and A10.</t>
        </is>
      </c>
      <c r="I12" s="17" t="inlineStr">
        <is>
          <t>Open</t>
        </is>
      </c>
      <c r="J12" s="17" t="inlineStr">
        <is>
          <t>QA</t>
        </is>
      </c>
    </row>
    <row r="13" ht="44.25" customHeight="1" s="22">
      <c r="A13" s="17" t="inlineStr">
        <is>
          <t>R7</t>
        </is>
      </c>
      <c r="B13" s="17" t="inlineStr">
        <is>
          <t>Product</t>
        </is>
      </c>
      <c r="C13" s="17" t="inlineStr">
        <is>
          <t>Deleting removes the wrong notice (for example, the delete uses the position in the list), or the 'Ongoing' tag, the palm tree icon and the booking block stay after the ongoing notice is deleted.</t>
        </is>
      </c>
      <c r="D13" s="16" t="n">
        <v>3</v>
      </c>
      <c r="E13" s="16" t="n">
        <v>5</v>
      </c>
      <c r="F13" s="19">
        <f>D13*E13</f>
        <v/>
      </c>
      <c r="G13" s="19">
        <f>IF(F13&gt;=$B$3,"High",IF(F13&gt;=$B$4,"Medium","Low"))</f>
        <v/>
      </c>
      <c r="H13" s="17" t="inlineStr">
        <is>
          <t>With 3 notices, delete the middle one: check the period shown in the modal and the remaining periods in the app and Admin. Delete the ongoing notice: check the tag, the Admin icon and the booking flow.</t>
        </is>
      </c>
      <c r="I13" s="17" t="inlineStr">
        <is>
          <t>Open</t>
        </is>
      </c>
      <c r="J13" s="17" t="inlineStr">
        <is>
          <t>QA</t>
        </is>
      </c>
    </row>
    <row r="14" ht="44.25" customHeight="1" s="22">
      <c r="A14" s="17" t="inlineStr">
        <is>
          <t>R8</t>
        </is>
      </c>
      <c r="B14" s="17" t="inlineStr">
        <is>
          <t>Product</t>
        </is>
      </c>
      <c r="C14" s="17" t="inlineStr">
        <is>
          <t>Automated messages (mandatory open slots alert, availability reminder) are still sent during the 2nd or 3rd period, or are blocked when the provider is not on vacation.</t>
        </is>
      </c>
      <c r="D14" s="16" t="n">
        <v>3</v>
      </c>
      <c r="E14" s="16" t="n">
        <v>3</v>
      </c>
      <c r="F14" s="19">
        <f>D14*E14</f>
        <v/>
      </c>
      <c r="G14" s="19">
        <f>IF(F14&gt;=$B$3,"High",IF(F14&gt;=$B$4,"Medium","Low"))</f>
        <v/>
      </c>
      <c r="H14" s="17" t="inlineStr">
        <is>
          <t>With Backend logs or a manual trigger, check a provider in an ongoing 2nd or 3rd notice and a provider with only future notices.</t>
        </is>
      </c>
      <c r="I14" s="17" t="inlineStr">
        <is>
          <t>Open</t>
        </is>
      </c>
      <c r="J14" s="17" t="inlineStr">
        <is>
          <t>QA + Backend</t>
        </is>
      </c>
    </row>
    <row r="15" ht="30.75" customHeight="1" s="22">
      <c r="A15" s="17" t="inlineStr">
        <is>
          <t>R9</t>
        </is>
      </c>
      <c r="B15" s="17" t="inlineStr">
        <is>
          <t>Product</t>
        </is>
      </c>
      <c r="C15" s="17" t="inlineStr">
        <is>
          <t>Regression: providers who had a notice before the change lose it, see it twice, or the single-vacation flow breaks.</t>
        </is>
      </c>
      <c r="D15" s="16" t="n">
        <v>2</v>
      </c>
      <c r="E15" s="16" t="n">
        <v>4</v>
      </c>
      <c r="F15" s="19">
        <f>D15*E15</f>
        <v/>
      </c>
      <c r="G15" s="19">
        <f>IF(F15&gt;=$B$3,"High",IF(F15&gt;=$B$4,"Medium","Low"))</f>
        <v/>
      </c>
      <c r="H15" s="17" t="inlineStr">
        <is>
          <t>Legacy provider P5: check both lists, the Admin and the booking block. Smoke of the single-vacation flow.</t>
        </is>
      </c>
      <c r="I15" s="17" t="inlineStr">
        <is>
          <t>Open</t>
        </is>
      </c>
      <c r="J15" s="17" t="inlineStr">
        <is>
          <t>QA</t>
        </is>
      </c>
    </row>
    <row r="16" ht="57.75" customHeight="1" s="22">
      <c r="A16" s="17" t="inlineStr">
        <is>
          <t>R10</t>
        </is>
      </c>
      <c r="B16" s="17" t="inlineStr">
        <is>
          <t>Product</t>
        </is>
      </c>
      <c r="C16" s="17" t="inlineStr">
        <is>
          <t>Rule 13 (no vacation over an existing booking) fails: the check misses bookings on the Start or End day, inside the 2nd or 3rd period, or of some status; or it blocks valid periods because of cancelled or completed bookings; or the error message is unclear.</t>
        </is>
      </c>
      <c r="D16" s="16" t="n">
        <v>3</v>
      </c>
      <c r="E16" s="16" t="n">
        <v>5</v>
      </c>
      <c r="F16" s="19">
        <f>D16*E16</f>
        <v/>
      </c>
      <c r="G16" s="19">
        <f>IF(F16&gt;=$B$3,"High",IF(F16&gt;=$B$4,"Medium","Low"))</f>
        <v/>
      </c>
      <c r="H16" s="17" t="inlineStr">
        <is>
          <t>Decision table 'Existing booking' with provider P6: booking before Start, on Start, inside, on End, after End, in each booking status. Confirm A6b (statuses and message).</t>
        </is>
      </c>
      <c r="I16" s="17" t="inlineStr">
        <is>
          <t>Open</t>
        </is>
      </c>
      <c r="J16" s="17" t="inlineStr">
        <is>
          <t>QA + Backend</t>
        </is>
      </c>
    </row>
    <row r="17" ht="44.25" customHeight="1" s="22">
      <c r="A17" s="17" t="inlineStr">
        <is>
          <t>R11</t>
        </is>
      </c>
      <c r="B17" s="17" t="inlineStr">
        <is>
          <t>Product</t>
        </is>
      </c>
      <c r="C17" s="17" t="inlineStr">
        <is>
          <t>List problems with 3 notices: wrong order, wrong 'Ongoing' or 'Past' tag, the limit message overlaps the buttons on small screens, or All Vacations differs from the Vacation Notice screen.</t>
        </is>
      </c>
      <c r="D17" s="16" t="n">
        <v>3</v>
      </c>
      <c r="E17" s="16" t="n">
        <v>2</v>
      </c>
      <c r="F17" s="19">
        <f>D17*E17</f>
        <v/>
      </c>
      <c r="G17" s="19">
        <f>IF(F17&gt;=$B$3,"High",IF(F17&gt;=$B$4,"Medium","Low"))</f>
        <v/>
      </c>
      <c r="H17" s="17" t="inlineStr">
        <is>
          <t>Compare both lists on a small and a large iPhone. Confirm the order (A9).</t>
        </is>
      </c>
      <c r="I17" s="17" t="inlineStr">
        <is>
          <t>Open</t>
        </is>
      </c>
      <c r="J17" s="17" t="inlineStr">
        <is>
          <t>QA + Frontend</t>
        </is>
      </c>
    </row>
    <row r="18" ht="30.75" customHeight="1" s="22">
      <c r="A18" s="17" t="inlineStr">
        <is>
          <t>R12</t>
        </is>
      </c>
      <c r="B18" s="17" t="inlineStr">
        <is>
          <t>Product</t>
        </is>
      </c>
      <c r="C18" s="17" t="inlineStr">
        <is>
          <t>Date picker problems: End before Start accepted, or Submit enabled with only one date or after clearing a date.</t>
        </is>
      </c>
      <c r="D18" s="16" t="n">
        <v>2</v>
      </c>
      <c r="E18" s="16" t="n">
        <v>3</v>
      </c>
      <c r="F18" s="19">
        <f>D18*E18</f>
        <v/>
      </c>
      <c r="G18" s="19">
        <f>IF(F18&gt;=$B$3,"High",IF(F18&gt;=$B$4,"Medium","Low"))</f>
        <v/>
      </c>
      <c r="H18" s="17" t="inlineStr">
        <is>
          <t>Boundary tests End = Start - 1, Start = End; clear one date after selecting both. Confirm A13.</t>
        </is>
      </c>
      <c r="I18" s="17" t="inlineStr">
        <is>
          <t>Open</t>
        </is>
      </c>
      <c r="J18" s="17" t="inlineStr">
        <is>
          <t>QA + Frontend</t>
        </is>
      </c>
    </row>
    <row r="19" ht="44.25" customHeight="1" s="22">
      <c r="A19" s="17" t="inlineStr">
        <is>
          <t>R13</t>
        </is>
      </c>
      <c r="B19" s="17" t="inlineStr">
        <is>
          <t>Product</t>
        </is>
      </c>
      <c r="C19" s="17" t="inlineStr">
        <is>
          <t>The Admin palm tree icon is missing on some Admin pages, is shown for a provider with only future notices, or does not disappear after the vacation ends.</t>
        </is>
      </c>
      <c r="D19" s="16" t="n">
        <v>3</v>
      </c>
      <c r="E19" s="16" t="n">
        <v>2</v>
      </c>
      <c r="F19" s="19">
        <f>D19*E19</f>
        <v/>
      </c>
      <c r="G19" s="19">
        <f>IF(F19&gt;=$B$3,"High",IF(F19&gt;=$B$4,"Medium","Low"))</f>
        <v/>
      </c>
      <c r="H19" s="17" t="inlineStr">
        <is>
          <t>Check the main Admin pages that show the provider (lists, profile, bookings) for P4 (ongoing) and P2 (future only).</t>
        </is>
      </c>
      <c r="I19" s="17" t="inlineStr">
        <is>
          <t>Open</t>
        </is>
      </c>
      <c r="J19" s="17" t="inlineStr">
        <is>
          <t>QA</t>
        </is>
      </c>
    </row>
    <row r="20" ht="44.25" customHeight="1" s="22">
      <c r="A20" s="17" t="inlineStr">
        <is>
          <t>R14</t>
        </is>
      </c>
      <c r="B20" s="17" t="inlineStr">
        <is>
          <t>Product</t>
        </is>
      </c>
      <c r="C20" s="17" t="inlineStr">
        <is>
          <t>The Admin is not read only (edit or delete reachable through the screen or the API), or the name filter fails (partial name, upper/lower case, accents, no result, pagination).</t>
        </is>
      </c>
      <c r="D20" s="16" t="n">
        <v>2</v>
      </c>
      <c r="E20" s="16" t="n">
        <v>3</v>
      </c>
      <c r="F20" s="19">
        <f>D20*E20</f>
        <v/>
      </c>
      <c r="G20" s="19">
        <f>IF(F20&gt;=$B$3,"High",IF(F20&gt;=$B$4,"Medium","Low"))</f>
        <v/>
      </c>
      <c r="H20" s="17" t="inlineStr">
        <is>
          <t>Look for any write control in the Vacation list; Playwright check for the filter cases.</t>
        </is>
      </c>
      <c r="I20" s="17" t="inlineStr">
        <is>
          <t>Open</t>
        </is>
      </c>
      <c r="J20" s="17" t="inlineStr">
        <is>
          <t>QA</t>
        </is>
      </c>
    </row>
    <row r="21" ht="44.25" customHeight="1" s="22">
      <c r="A21" s="17" t="inlineStr">
        <is>
          <t>R15</t>
        </is>
      </c>
      <c r="B21" s="17" t="inlineStr">
        <is>
          <t>Project</t>
        </is>
      </c>
      <c r="C21" s="17" t="inlineStr">
        <is>
          <t>4 working days are short for 3 surfaces (Provider App, Admin, booking flow and messages) and for date-dependent tests.</t>
        </is>
      </c>
      <c r="D21" s="16" t="n">
        <v>3</v>
      </c>
      <c r="E21" s="16" t="n">
        <v>4</v>
      </c>
      <c r="F21" s="19">
        <f>D21*E21</f>
        <v/>
      </c>
      <c r="G21" s="19">
        <f>IF(F21&gt;=$B$3,"High",IF(F21&gt;=$B$4,"Medium","Low"))</f>
        <v/>
      </c>
      <c r="H21" s="17" t="inlineStr">
        <is>
          <t>Run high priority sets first. Create 'Past' and 'Ongoing' notices directly in the app (past dates are allowed). Report early if the deadline needs renegotiation.</t>
        </is>
      </c>
      <c r="I21" s="17" t="inlineStr">
        <is>
          <t>Open</t>
        </is>
      </c>
      <c r="J21" s="17" t="inlineStr">
        <is>
          <t>QA + Engineering Lead</t>
        </is>
      </c>
    </row>
    <row r="22" ht="30.75" customHeight="1" s="22">
      <c r="A22" s="17" t="inlineStr">
        <is>
          <t>R16</t>
        </is>
      </c>
      <c r="B22" s="17" t="inlineStr">
        <is>
          <t>Project</t>
        </is>
      </c>
      <c r="C22" s="17" t="inlineStr">
        <is>
          <t>Open business rules (A1b to A14) are answered late and change the expected results.</t>
        </is>
      </c>
      <c r="D22" s="16" t="n">
        <v>3</v>
      </c>
      <c r="E22" s="16" t="n">
        <v>3</v>
      </c>
      <c r="F22" s="19">
        <f>D22*E22</f>
        <v/>
      </c>
      <c r="G22" s="19">
        <f>IF(F22&gt;=$B$3,"High",IF(F22&gt;=$B$4,"Medium","Low"))</f>
        <v/>
      </c>
      <c r="H22" s="17" t="inlineStr">
        <is>
          <t>Answers to A1, A2, A5, A6 and A12 already recorded (2026-10-19). Send the remaining ones to the Engineering, Backend and Frontend leads on Day 1.</t>
        </is>
      </c>
      <c r="I22" s="17" t="inlineStr">
        <is>
          <t>Open</t>
        </is>
      </c>
      <c r="J22" s="17" t="inlineStr">
        <is>
          <t>QA</t>
        </is>
      </c>
    </row>
    <row r="23" ht="44.25" customHeight="1" s="22">
      <c r="A23" s="17" t="inlineStr">
        <is>
          <t>R17</t>
        </is>
      </c>
      <c r="B23" s="17" t="inlineStr">
        <is>
          <t>Project</t>
        </is>
      </c>
      <c r="C23" s="17" t="inlineStr">
        <is>
          <t>Date-dependent data and scheduled messages are hard to reproduce: messages cannot be triggered on demand, and some checks need a specific day (midnight, month change).</t>
        </is>
      </c>
      <c r="D23" s="16" t="n">
        <v>4</v>
      </c>
      <c r="E23" s="16" t="n">
        <v>3</v>
      </c>
      <c r="F23" s="19">
        <f>D23*E23</f>
        <v/>
      </c>
      <c r="G23" s="19">
        <f>IF(F23&gt;=$B$3,"High",IF(F23&gt;=$B$4,"Medium","Low"))</f>
        <v/>
      </c>
      <c r="H23" s="17" t="inlineStr">
        <is>
          <t>Ask Backend for message logs or a manual trigger on Day 1. Use the relative date table (DT). Schedule midnight checks or ask for a server-side date change.</t>
        </is>
      </c>
      <c r="I23" s="17" t="inlineStr">
        <is>
          <t>Open</t>
        </is>
      </c>
      <c r="J23" s="17" t="inlineStr">
        <is>
          <t>QA + Backend</t>
        </is>
      </c>
    </row>
    <row r="24" ht="30.75" customHeight="1" s="22">
      <c r="A24" s="17" t="inlineStr">
        <is>
          <t>R18</t>
        </is>
      </c>
      <c r="B24" s="17" t="inlineStr">
        <is>
          <t>Project</t>
        </is>
      </c>
      <c r="C24" s="17" t="inlineStr">
        <is>
          <t>Provider App DEV build (iOS) or test provider accounts are not available on Day 1.</t>
        </is>
      </c>
      <c r="D24" s="16" t="n">
        <v>2</v>
      </c>
      <c r="E24" s="16" t="n">
        <v>4</v>
      </c>
      <c r="F24" s="19">
        <f>D24*E24</f>
        <v/>
      </c>
      <c r="G24" s="19">
        <f>IF(F24&gt;=$B$3,"High",IF(F24&gt;=$B$4,"Medium","Low"))</f>
        <v/>
      </c>
      <c r="H24" s="17" t="inlineStr">
        <is>
          <t>Confirm the build on the iPhone and the accounts on Day 1 (entry criteria E1 and E2).</t>
        </is>
      </c>
      <c r="I24" s="17" t="inlineStr">
        <is>
          <t>Open</t>
        </is>
      </c>
      <c r="J24" s="17" t="inlineStr">
        <is>
          <t>QA + Frontend</t>
        </is>
      </c>
    </row>
    <row r="25" ht="57.75" customHeight="1" s="22">
      <c r="A25" s="17" t="inlineStr">
        <is>
          <t>R19</t>
        </is>
      </c>
      <c r="B25" s="17" t="inlineStr">
        <is>
          <t>Product</t>
        </is>
      </c>
      <c r="C25" s="17" t="inlineStr">
        <is>
          <t>Gap between rules 12 and 13: a provider with a FUTURE vacation is still listed in the booking flow, so a customer can book a slot inside that vacation. The result is the same conflict that rule 13 forbids (booking inside a vacation), only in the opposite order.</t>
        </is>
      </c>
      <c r="D25" s="16" t="n">
        <v>4</v>
      </c>
      <c r="E25" s="16" t="n">
        <v>4</v>
      </c>
      <c r="F25" s="19">
        <f>D25*E25</f>
        <v/>
      </c>
      <c r="G25" s="19">
        <f>IF(F25&gt;=$B$3,"High",IF(F25&gt;=$B$4,"Medium","Low"))</f>
        <v/>
      </c>
      <c r="H25" s="17" t="inlineStr">
        <is>
          <t>Test it on Day 1: create a future vacation, then book a date inside it as a customer. Report the result to the Engineering and Backend leads as A14 before execution; if confirmed, log it as a defect or a change request.</t>
        </is>
      </c>
      <c r="I25" s="17" t="inlineStr">
        <is>
          <t>Open</t>
        </is>
      </c>
      <c r="J25" s="17" t="inlineStr">
        <is>
          <t>QA + Backend</t>
        </is>
      </c>
    </row>
    <row r="26" ht="15.75" customHeight="1" s="22"/>
    <row r="27" ht="15.75" customHeight="1" s="22">
      <c r="A27" s="15" t="inlineStr">
        <is>
          <t>Risks at High level</t>
        </is>
      </c>
      <c r="B27" s="7">
        <f>COUNTIF($G$7:$G$25,"High")</f>
        <v/>
      </c>
    </row>
    <row r="28" ht="15.75" customHeight="1" s="22">
      <c r="A28" s="15" t="inlineStr">
        <is>
          <t>Risks at Medium level</t>
        </is>
      </c>
      <c r="B28" s="7">
        <f>COUNTIF($G$7:$G$25,"Medium")</f>
        <v/>
      </c>
    </row>
    <row r="29" ht="15.75" customHeight="1" s="22">
      <c r="A29" s="15" t="inlineStr">
        <is>
          <t>Risks at Low level</t>
        </is>
      </c>
      <c r="B29" s="7">
        <f>COUNTIF($G$7:$G$25,"Low")</f>
        <v/>
      </c>
    </row>
    <row r="30" ht="15.75" customHeight="1" s="22"/>
    <row r="31" ht="15.75" customHeight="1" s="22"/>
    <row r="32" ht="15.75" customHeight="1" s="22"/>
    <row r="33" ht="15.75" customHeight="1" s="22"/>
    <row r="34" ht="15.75" customHeight="1" s="22"/>
    <row r="35" ht="15.75" customHeight="1" s="22"/>
    <row r="36" ht="15.75" customHeight="1" s="22"/>
    <row r="37" ht="15.75" customHeight="1" s="22"/>
    <row r="38" ht="15.75" customHeight="1" s="22"/>
    <row r="39" ht="15.75" customHeight="1" s="22"/>
    <row r="40" ht="15.75" customHeight="1" s="22"/>
    <row r="41" ht="15.75" customHeight="1" s="22"/>
    <row r="42" ht="15.75" customHeight="1" s="22"/>
    <row r="43" ht="15.75" customHeight="1" s="22"/>
    <row r="44" ht="15.75" customHeight="1" s="22"/>
    <row r="45" ht="15.75" customHeight="1" s="22"/>
    <row r="46" ht="15.75" customHeight="1" s="22"/>
    <row r="47" ht="15.75" customHeight="1" s="22"/>
    <row r="48" ht="15.75" customHeight="1" s="22"/>
    <row r="49" ht="15.75" customHeight="1" s="22"/>
    <row r="50" ht="15.75" customHeight="1" s="22"/>
    <row r="51" ht="15.75" customHeight="1" s="22"/>
    <row r="52" ht="15.75" customHeight="1" s="22"/>
    <row r="53" ht="15.75" customHeight="1" s="22"/>
    <row r="54" ht="15.75" customHeight="1" s="22"/>
    <row r="55" ht="15.75" customHeight="1" s="22"/>
    <row r="56" ht="15.75" customHeight="1" s="22"/>
    <row r="57" ht="15.75" customHeight="1" s="22"/>
    <row r="58" ht="15.75" customHeight="1" s="22"/>
    <row r="59" ht="15.75" customHeight="1" s="22"/>
    <row r="60" ht="15.75" customHeight="1" s="22"/>
    <row r="61" ht="15.75" customHeight="1" s="22"/>
    <row r="62" ht="15.75" customHeight="1" s="22"/>
    <row r="63" ht="15.75" customHeight="1" s="22"/>
    <row r="64" ht="15.75" customHeight="1" s="22"/>
    <row r="65" ht="15.75" customHeight="1" s="22"/>
    <row r="66" ht="15.75" customHeight="1" s="22"/>
    <row r="67" ht="15.75" customHeight="1" s="22"/>
    <row r="68" ht="15.75" customHeight="1" s="22"/>
    <row r="69" ht="15.75" customHeight="1" s="22"/>
    <row r="70" ht="15.75" customHeight="1" s="22"/>
    <row r="71" ht="15.75" customHeight="1" s="22"/>
    <row r="72" ht="15.75" customHeight="1" s="22"/>
    <row r="73" ht="15.75" customHeight="1" s="22"/>
    <row r="74" ht="15.75" customHeight="1" s="22"/>
    <row r="75" ht="15.75" customHeight="1" s="22"/>
    <row r="76" ht="15.75" customHeight="1" s="22"/>
    <row r="77" ht="15.75" customHeight="1" s="22"/>
    <row r="78" ht="15.75" customHeight="1" s="22"/>
    <row r="79" ht="15.75" customHeight="1" s="22"/>
    <row r="80" ht="15.75" customHeight="1" s="22"/>
    <row r="81" ht="15.75" customHeight="1" s="22"/>
    <row r="82" ht="15.75" customHeight="1" s="22"/>
    <row r="83" ht="15.75" customHeight="1" s="22"/>
    <row r="84" ht="15.75" customHeight="1" s="22"/>
    <row r="85" ht="15.75" customHeight="1" s="22"/>
    <row r="86" ht="15.75" customHeight="1" s="22"/>
    <row r="87" ht="15.75" customHeight="1" s="22"/>
    <row r="88" ht="15.75" customHeight="1" s="22"/>
    <row r="89" ht="15.75" customHeight="1" s="22"/>
    <row r="90" ht="15.75" customHeight="1" s="22"/>
    <row r="91" ht="15.75" customHeight="1" s="22"/>
    <row r="92" ht="15.75" customHeight="1" s="22"/>
    <row r="93" ht="15.75" customHeight="1" s="22"/>
    <row r="94" ht="15.75" customHeight="1" s="22"/>
    <row r="95" ht="15.75" customHeight="1" s="22"/>
    <row r="96" ht="15.75" customHeight="1" s="22"/>
    <row r="97" ht="15.75" customHeight="1" s="22"/>
    <row r="98" ht="15.75" customHeight="1" s="22"/>
    <row r="99" ht="15.75" customHeight="1" s="22"/>
    <row r="100" ht="15.75" customHeight="1" s="22"/>
    <row r="101" ht="15.75" customHeight="1" s="22"/>
    <row r="102" ht="15.75" customHeight="1" s="22"/>
    <row r="103" ht="15.75" customHeight="1" s="22"/>
    <row r="104" ht="15.75" customHeight="1" s="22"/>
    <row r="105" ht="15.75" customHeight="1" s="22"/>
    <row r="106" ht="15.75" customHeight="1" s="22"/>
    <row r="107" ht="15.75" customHeight="1" s="22"/>
    <row r="108" ht="15.75" customHeight="1" s="22"/>
    <row r="109" ht="15.75" customHeight="1" s="22"/>
    <row r="110" ht="15.75" customHeight="1" s="22"/>
    <row r="111" ht="15.75" customHeight="1" s="22"/>
    <row r="112" ht="15.75" customHeight="1" s="22"/>
    <row r="113" ht="15.75" customHeight="1" s="22"/>
    <row r="114" ht="15.75" customHeight="1" s="22"/>
    <row r="115" ht="15.75" customHeight="1" s="22"/>
    <row r="116" ht="15.75" customHeight="1" s="22"/>
    <row r="117" ht="15.75" customHeight="1" s="22"/>
    <row r="118" ht="15.75" customHeight="1" s="22"/>
    <row r="119" ht="15.75" customHeight="1" s="22"/>
    <row r="120" ht="15.75" customHeight="1" s="22"/>
    <row r="121" ht="15.75" customHeight="1" s="22"/>
    <row r="122" ht="15.75" customHeight="1" s="22"/>
    <row r="123" ht="15.75" customHeight="1" s="22"/>
    <row r="124" ht="15.75" customHeight="1" s="22"/>
    <row r="125" ht="15.75" customHeight="1" s="22"/>
    <row r="126" ht="15.75" customHeight="1" s="22"/>
    <row r="127" ht="15.75" customHeight="1" s="22"/>
    <row r="128" ht="15.75" customHeight="1" s="22"/>
    <row r="129" ht="15.75" customHeight="1" s="22"/>
    <row r="130" ht="15.75" customHeight="1" s="22"/>
    <row r="131" ht="15.75" customHeight="1" s="22"/>
    <row r="132" ht="15.75" customHeight="1" s="22"/>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mergeCells count="2">
    <mergeCell ref="A1:J1"/>
    <mergeCell ref="A2:J2"/>
  </mergeCells>
  <conditionalFormatting sqref="F7:G25">
    <cfRule type="expression" priority="1" dxfId="6">
      <formula>$G7="High"</formula>
    </cfRule>
    <cfRule type="expression" priority="2" dxfId="1">
      <formula>$G7="Medium"</formula>
    </cfRule>
    <cfRule type="expression" priority="3" dxfId="8">
      <formula>$G7="Low"</formula>
    </cfRule>
  </conditionalFormatting>
  <dataValidations count="1">
    <dataValidation sqref="I7:I25" showDropDown="0" showInputMessage="0" showErrorMessage="0" allowBlank="1" type="list">
      <formula1>"Open,Mitigated,Accepted,Closed"</formula1>
    </dataValidation>
  </dataValidations>
  <pageMargins left="0.75" right="0.75" top="1" bottom="1" header="0" footer="0"/>
  <pageSetup orientation="landscape"/>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F22"/>
  <sheetViews>
    <sheetView showGridLines="0" workbookViewId="0">
      <selection activeCell="A1" sqref="A1"/>
    </sheetView>
  </sheetViews>
  <sheetFormatPr baseColWidth="8" defaultColWidth="14.43" defaultRowHeight="15" customHeight="1"/>
  <cols>
    <col width="8" customWidth="1" style="22" min="1" max="1"/>
    <col width="74" customWidth="1" style="22" min="2" max="2"/>
    <col width="14" customWidth="1" style="22" min="3" max="3"/>
    <col width="58" customWidth="1" style="22" min="4" max="4"/>
    <col width="15" customWidth="1" style="22" min="5" max="6"/>
    <col width="8.710000000000001" customWidth="1" style="22" min="7" max="26"/>
  </cols>
  <sheetData>
    <row r="1" ht="24" customHeight="1" s="22">
      <c r="A1" s="23" t="inlineStr">
        <is>
          <t>TESTWARE #003: ENTRY AND EXIT CRITERIA</t>
        </is>
      </c>
    </row>
    <row r="2"/>
    <row r="3">
      <c r="A3" s="27" t="inlineStr">
        <is>
          <t>ENTRY CRITERIA: must be met BEFORE test execution starts</t>
        </is>
      </c>
    </row>
    <row r="4">
      <c r="A4" s="6" t="inlineStr">
        <is>
          <t>ID</t>
        </is>
      </c>
      <c r="B4" s="6" t="inlineStr">
        <is>
          <t>Criterion</t>
        </is>
      </c>
      <c r="C4" s="6" t="inlineStr">
        <is>
          <t>Status</t>
        </is>
      </c>
      <c r="D4" s="6" t="inlineStr">
        <is>
          <t>Evidence / Observation</t>
        </is>
      </c>
      <c r="E4" s="6" t="inlineStr">
        <is>
          <t>Author</t>
        </is>
      </c>
      <c r="F4" s="6" t="inlineStr">
        <is>
          <t>Last update</t>
        </is>
      </c>
    </row>
    <row r="5" ht="44.25" customHeight="1" s="22">
      <c r="A5" s="17" t="inlineStr">
        <is>
          <t>E1</t>
        </is>
      </c>
      <c r="B5" s="17" t="inlineStr">
        <is>
          <t>Resource availability: QA allocated; Provider App DEV build installed on an iPhone (iOS only); Admin in the test environment reachable; the test environment reachable; 4 working days confirmed (2026-10-19 to 2026-10-22).</t>
        </is>
      </c>
      <c r="C5" s="17" t="inlineStr">
        <is>
          <t>Pending</t>
        </is>
      </c>
      <c r="D5" s="17" t="inlineStr">
        <is>
          <t>Record the build version per platform.</t>
        </is>
      </c>
      <c r="E5" s="17" t="inlineStr">
        <is>
          <t>QA Analyst</t>
        </is>
      </c>
      <c r="F5" s="11" t="n">
        <v>46314</v>
      </c>
    </row>
    <row r="6" ht="30.75" customHeight="1" s="22">
      <c r="A6" s="17" t="inlineStr">
        <is>
          <t>E2</t>
        </is>
      </c>
      <c r="B6" s="17" t="inlineStr">
        <is>
          <t>Access: at least 6 test provider accounts on DEV (Provider App login), an Admin user with access to the Vacation list, and a test customer for the booking flow.</t>
        </is>
      </c>
      <c r="C6" s="17" t="inlineStr">
        <is>
          <t>Pending</t>
        </is>
      </c>
      <c r="D6" s="17" t="n"/>
      <c r="E6" s="17" t="inlineStr">
        <is>
          <t>QA Analyst</t>
        </is>
      </c>
      <c r="F6" s="11" t="n">
        <v>46314</v>
      </c>
    </row>
    <row r="7" ht="44.25" customHeight="1" s="22">
      <c r="A7" s="17" t="inlineStr">
        <is>
          <t>E3</t>
        </is>
      </c>
      <c r="B7" s="17" t="inlineStr">
        <is>
          <t>Test data ready: providers P1 to P6 in their starting states (0, 1 and 3 notices, one ongoing, one legacy, one with bookings on chosen dates), the relative date table, and a way to see the automated messages (logs or manual trigger).</t>
        </is>
      </c>
      <c r="C7" s="17" t="inlineStr">
        <is>
          <t>Pending</t>
        </is>
      </c>
      <c r="D7" s="17" t="inlineStr">
        <is>
          <t>See 'Test data requirements' in the Test Plan.</t>
        </is>
      </c>
      <c r="E7" s="17" t="inlineStr">
        <is>
          <t>QA Analyst</t>
        </is>
      </c>
      <c r="F7" s="11" t="n">
        <v>46314</v>
      </c>
    </row>
    <row r="8" ht="44.25" customHeight="1" s="22">
      <c r="A8" s="17" t="inlineStr">
        <is>
          <t>E4</t>
        </is>
      </c>
      <c r="B8" s="17" t="inlineStr">
        <is>
          <t>Test material available: PRD and feature description reviewed, Figma accessible (if any), and the build with the 3-notices change deployed to DEV (Jira story or release note).</t>
        </is>
      </c>
      <c r="C8" s="17" t="inlineStr">
        <is>
          <t>Pending</t>
        </is>
      </c>
      <c r="D8" s="17" t="n"/>
      <c r="E8" s="17" t="inlineStr">
        <is>
          <t>QA Analyst</t>
        </is>
      </c>
      <c r="F8" s="11" t="n">
        <v>46314</v>
      </c>
    </row>
    <row r="9" ht="57.75" customHeight="1" s="22">
      <c r="A9" s="17" t="inlineStr">
        <is>
          <t>E5</t>
        </is>
      </c>
      <c r="B9" s="17" t="inlineStr">
        <is>
          <t>Critical ambiguities answered: limit counting (A1), overlap rule and adjacent dates (A2), booking block scope (A5), existing bookings (A6), platform (A12): answered 2026-10-19. Still open: date and time zone semantics (A3), booking statuses and message for rule 13 (A6b), Backend validation (A7), booking inside a future vacation (A14).</t>
        </is>
      </c>
      <c r="C9" s="17" t="inlineStr">
        <is>
          <t>In progress</t>
        </is>
      </c>
      <c r="D9" s="17" t="inlineStr">
        <is>
          <t>Without these answers, the expected results of the high-priority tests are unknown.</t>
        </is>
      </c>
      <c r="E9" s="17" t="inlineStr">
        <is>
          <t>QA Analyst</t>
        </is>
      </c>
      <c r="F9" s="11" t="n">
        <v>46314</v>
      </c>
    </row>
    <row r="10" ht="30.75" customHeight="1" s="22">
      <c r="A10" s="17" t="inlineStr">
        <is>
          <t>E6</t>
        </is>
      </c>
      <c r="B10" s="17" t="inlineStr">
        <is>
          <t>Initial quality level: smoke test passed. The Vacation Notice screen opens, one notice can be created and deleted, and it appears in (and leaves) the Admin Vacation list.</t>
        </is>
      </c>
      <c r="C10" s="17" t="inlineStr">
        <is>
          <t>Pending</t>
        </is>
      </c>
      <c r="D10" s="17" t="n"/>
      <c r="E10" s="17" t="inlineStr">
        <is>
          <t>QA Analyst</t>
        </is>
      </c>
      <c r="F10" s="11" t="n">
        <v>46314</v>
      </c>
    </row>
    <row r="11"/>
    <row r="12">
      <c r="A12" s="27" t="inlineStr">
        <is>
          <t>EXIT CRITERIA: must be met to consider the cycle COMPLETE</t>
        </is>
      </c>
    </row>
    <row r="13">
      <c r="A13" s="6" t="inlineStr">
        <is>
          <t>ID</t>
        </is>
      </c>
      <c r="B13" s="6" t="inlineStr">
        <is>
          <t>Criterion</t>
        </is>
      </c>
      <c r="C13" s="6" t="inlineStr">
        <is>
          <t>Status</t>
        </is>
      </c>
      <c r="D13" s="6" t="inlineStr">
        <is>
          <t>Evidence / Observation</t>
        </is>
      </c>
      <c r="E13" s="6" t="inlineStr">
        <is>
          <t>Author</t>
        </is>
      </c>
      <c r="F13" s="6" t="inlineStr">
        <is>
          <t>Last update</t>
        </is>
      </c>
    </row>
    <row r="14" ht="30.75" customHeight="1" s="22">
      <c r="A14" s="17" t="inlineStr">
        <is>
          <t>X1</t>
        </is>
      </c>
      <c r="B14" s="17" t="inlineStr">
        <is>
          <t>100% of high priority test conditions (risk score 15 or higher: R2, R3, R7, R10, R19) executed.</t>
        </is>
      </c>
      <c r="C14" s="17" t="inlineStr">
        <is>
          <t>Pending</t>
        </is>
      </c>
      <c r="D14" s="17" t="n"/>
      <c r="E14" s="17" t="n"/>
      <c r="F14" s="17" t="n"/>
    </row>
    <row r="15" ht="44.25" customHeight="1" s="22">
      <c r="A15" s="17" t="inlineStr">
        <is>
          <t>X2</t>
        </is>
      </c>
      <c r="B15" s="17" t="inlineStr">
        <is>
          <t>All rules of the 'Overlap' decision table validated against the 1st, 2nd and 3rd existing notice, and all rules of the 'Existing booking' decision table validated (rule 13), on iOS.</t>
        </is>
      </c>
      <c r="C15" s="17" t="inlineStr">
        <is>
          <t>Pending</t>
        </is>
      </c>
      <c r="D15" s="17" t="n"/>
      <c r="E15" s="17" t="n"/>
      <c r="F15" s="17" t="n"/>
    </row>
    <row r="16" ht="30.75" customHeight="1" s="22">
      <c r="A16" s="17" t="inlineStr">
        <is>
          <t>X3</t>
        </is>
      </c>
      <c r="B16" s="17" t="inlineStr">
        <is>
          <t>The state transitions of the limit (0 &gt; 1 &gt; 2 &gt; 3 blocked &gt; delete &gt; 2 &gt; 3) and of a notice (Future &gt; Ongoing &gt; Past) validated.</t>
        </is>
      </c>
      <c r="C16" s="17" t="inlineStr">
        <is>
          <t>Pending</t>
        </is>
      </c>
      <c r="D16" s="17" t="n"/>
      <c r="E16" s="17" t="n"/>
      <c r="F16" s="17" t="n"/>
    </row>
    <row r="17" ht="44.25" customHeight="1" s="22">
      <c r="A17" s="17" t="inlineStr">
        <is>
          <t>X4</t>
        </is>
      </c>
      <c r="B17" s="17" t="inlineStr">
        <is>
          <t>Booking block and message suppression validated while EACH of the 3 periods is ongoing, and provider listed again after each period ends. Result of A14 (booking inside a future vacation) recorded and agreed with the stakeholders.</t>
        </is>
      </c>
      <c r="C17" s="17" t="inlineStr">
        <is>
          <t>Pending</t>
        </is>
      </c>
      <c r="D17" s="17" t="n"/>
      <c r="E17" s="17" t="n"/>
      <c r="F17" s="17" t="n"/>
    </row>
    <row r="18" ht="30.75" customHeight="1" s="22">
      <c r="A18" s="17" t="inlineStr">
        <is>
          <t>X5</t>
        </is>
      </c>
      <c r="B18" s="17" t="inlineStr">
        <is>
          <t>Zero open defects of Critical or High severity related to the limit, the overlap rule, the existing-booking rule, deletion, the booking block or the Admin data.</t>
        </is>
      </c>
      <c r="C18" s="17" t="inlineStr">
        <is>
          <t>Pending</t>
        </is>
      </c>
      <c r="D18" s="17" t="n"/>
      <c r="E18" s="17" t="n"/>
      <c r="F18" s="17" t="n"/>
    </row>
    <row r="19" ht="17.25" customHeight="1" s="22">
      <c r="A19" s="17" t="inlineStr">
        <is>
          <t>X6</t>
        </is>
      </c>
      <c r="B19" s="17" t="inlineStr">
        <is>
          <t>Defect density within the level agreed with the stakeholders.</t>
        </is>
      </c>
      <c r="C19" s="17" t="inlineStr">
        <is>
          <t>Pending</t>
        </is>
      </c>
      <c r="D19" s="17" t="n"/>
      <c r="E19" s="17" t="n"/>
      <c r="F19" s="17" t="n"/>
    </row>
    <row r="20" ht="30.75" customHeight="1" s="22">
      <c r="A20" s="17" t="inlineStr">
        <is>
          <t>X7</t>
        </is>
      </c>
      <c r="B20" s="17" t="inlineStr">
        <is>
          <t>All planned tests executed, deferred with a recorded reason, or blocked with a documented cause.</t>
        </is>
      </c>
      <c r="C20" s="17" t="inlineStr">
        <is>
          <t>Pending</t>
        </is>
      </c>
      <c r="D20" s="17" t="n"/>
      <c r="E20" s="17" t="n"/>
      <c r="F20" s="17" t="n"/>
    </row>
    <row r="21" ht="30.75" customHeight="1" s="22">
      <c r="A21" s="17" t="inlineStr">
        <is>
          <t>X8</t>
        </is>
      </c>
      <c r="B21" s="17" t="inlineStr">
        <is>
          <t>Regression of the single-vacation flow and of notices created before the change executed with no new failures.</t>
        </is>
      </c>
      <c r="C21" s="17" t="inlineStr">
        <is>
          <t>Pending</t>
        </is>
      </c>
      <c r="D21" s="17" t="n"/>
      <c r="E21" s="17" t="n"/>
      <c r="F21" s="17" t="n"/>
    </row>
    <row r="22" ht="30.75" customHeight="1" s="22">
      <c r="A22" s="17" t="inlineStr">
        <is>
          <t>X9</t>
        </is>
      </c>
      <c r="B22" s="17" t="inlineStr">
        <is>
          <t>Test Completion Report written and reviewed by the stakeholders (Engineering, Backend and Frontend leads).</t>
        </is>
      </c>
      <c r="C22" s="17" t="inlineStr">
        <is>
          <t>Pending</t>
        </is>
      </c>
      <c r="D22" s="17" t="n"/>
      <c r="E22" s="17" t="n"/>
      <c r="F22" s="17" t="n"/>
    </row>
    <row r="23" ht="15.75" customHeight="1" s="22"/>
    <row r="24" ht="15.75" customHeight="1" s="22"/>
    <row r="25" ht="15.75" customHeight="1" s="22"/>
    <row r="26" ht="15.75" customHeight="1" s="22"/>
    <row r="27" ht="15.75" customHeight="1" s="22"/>
    <row r="28" ht="15.75" customHeight="1" s="22"/>
    <row r="29" ht="15.75" customHeight="1" s="22"/>
    <row r="30" ht="15.75" customHeight="1" s="22"/>
    <row r="31" ht="15.75" customHeight="1" s="22"/>
    <row r="32" ht="15.75" customHeight="1" s="22"/>
    <row r="33" ht="15.75" customHeight="1" s="22"/>
    <row r="34" ht="15.75" customHeight="1" s="22"/>
    <row r="35" ht="15.75" customHeight="1" s="22"/>
    <row r="36" ht="15.75" customHeight="1" s="22"/>
    <row r="37" ht="15.75" customHeight="1" s="22"/>
    <row r="38" ht="15.75" customHeight="1" s="22"/>
    <row r="39" ht="15.75" customHeight="1" s="22"/>
    <row r="40" ht="15.75" customHeight="1" s="22"/>
    <row r="41" ht="15.75" customHeight="1" s="22"/>
    <row r="42" ht="15.75" customHeight="1" s="22"/>
    <row r="43" ht="15.75" customHeight="1" s="22"/>
    <row r="44" ht="15.75" customHeight="1" s="22"/>
    <row r="45" ht="15.75" customHeight="1" s="22"/>
    <row r="46" ht="15.75" customHeight="1" s="22"/>
    <row r="47" ht="15.75" customHeight="1" s="22"/>
    <row r="48" ht="15.75" customHeight="1" s="22"/>
    <row r="49" ht="15.75" customHeight="1" s="22"/>
    <row r="50" ht="15.75" customHeight="1" s="22"/>
    <row r="51" ht="15.75" customHeight="1" s="22"/>
    <row r="52" ht="15.75" customHeight="1" s="22"/>
    <row r="53" ht="15.75" customHeight="1" s="22"/>
    <row r="54" ht="15.75" customHeight="1" s="22"/>
    <row r="55" ht="15.75" customHeight="1" s="22"/>
    <row r="56" ht="15.75" customHeight="1" s="22"/>
    <row r="57" ht="15.75" customHeight="1" s="22"/>
    <row r="58" ht="15.75" customHeight="1" s="22"/>
    <row r="59" ht="15.75" customHeight="1" s="22"/>
    <row r="60" ht="15.75" customHeight="1" s="22"/>
    <row r="61" ht="15.75" customHeight="1" s="22"/>
    <row r="62" ht="15.75" customHeight="1" s="22"/>
    <row r="63" ht="15.75" customHeight="1" s="22"/>
    <row r="64" ht="15.75" customHeight="1" s="22"/>
    <row r="65" ht="15.75" customHeight="1" s="22"/>
    <row r="66" ht="15.75" customHeight="1" s="22"/>
    <row r="67" ht="15.75" customHeight="1" s="22"/>
    <row r="68" ht="15.75" customHeight="1" s="22"/>
    <row r="69" ht="15.75" customHeight="1" s="22"/>
    <row r="70" ht="15.75" customHeight="1" s="22"/>
    <row r="71" ht="15.75" customHeight="1" s="22"/>
    <row r="72" ht="15.75" customHeight="1" s="22"/>
    <row r="73" ht="15.75" customHeight="1" s="22"/>
    <row r="74" ht="15.75" customHeight="1" s="22"/>
    <row r="75" ht="15.75" customHeight="1" s="22"/>
    <row r="76" ht="15.75" customHeight="1" s="22"/>
    <row r="77" ht="15.75" customHeight="1" s="22"/>
    <row r="78" ht="15.75" customHeight="1" s="22"/>
    <row r="79" ht="15.75" customHeight="1" s="22"/>
    <row r="80" ht="15.75" customHeight="1" s="22"/>
    <row r="81" ht="15.75" customHeight="1" s="22"/>
    <row r="82" ht="15.75" customHeight="1" s="22"/>
    <row r="83" ht="15.75" customHeight="1" s="22"/>
    <row r="84" ht="15.75" customHeight="1" s="22"/>
    <row r="85" ht="15.75" customHeight="1" s="22"/>
    <row r="86" ht="15.75" customHeight="1" s="22"/>
    <row r="87" ht="15.75" customHeight="1" s="22"/>
    <row r="88" ht="15.75" customHeight="1" s="22"/>
    <row r="89" ht="15.75" customHeight="1" s="22"/>
    <row r="90" ht="15.75" customHeight="1" s="22"/>
    <row r="91" ht="15.75" customHeight="1" s="22"/>
    <row r="92" ht="15.75" customHeight="1" s="22"/>
    <row r="93" ht="15.75" customHeight="1" s="22"/>
    <row r="94" ht="15.75" customHeight="1" s="22"/>
    <row r="95" ht="15.75" customHeight="1" s="22"/>
    <row r="96" ht="15.75" customHeight="1" s="22"/>
    <row r="97" ht="15.75" customHeight="1" s="22"/>
    <row r="98" ht="15.75" customHeight="1" s="22"/>
    <row r="99" ht="15.75" customHeight="1" s="22"/>
    <row r="100" ht="15.75" customHeight="1" s="22"/>
    <row r="101" ht="15.75" customHeight="1" s="22"/>
    <row r="102" ht="15.75" customHeight="1" s="22"/>
    <row r="103" ht="15.75" customHeight="1" s="22"/>
    <row r="104" ht="15.75" customHeight="1" s="22"/>
    <row r="105" ht="15.75" customHeight="1" s="22"/>
    <row r="106" ht="15.75" customHeight="1" s="22"/>
    <row r="107" ht="15.75" customHeight="1" s="22"/>
    <row r="108" ht="15.75" customHeight="1" s="22"/>
    <row r="109" ht="15.75" customHeight="1" s="22"/>
    <row r="110" ht="15.75" customHeight="1" s="22"/>
    <row r="111" ht="15.75" customHeight="1" s="22"/>
    <row r="112" ht="15.75" customHeight="1" s="22"/>
    <row r="113" ht="15.75" customHeight="1" s="22"/>
    <row r="114" ht="15.75" customHeight="1" s="22"/>
    <row r="115" ht="15.75" customHeight="1" s="22"/>
    <row r="116" ht="15.75" customHeight="1" s="22"/>
    <row r="117" ht="15.75" customHeight="1" s="22"/>
    <row r="118" ht="15.75" customHeight="1" s="22"/>
    <row r="119" ht="15.75" customHeight="1" s="22"/>
    <row r="120" ht="15.75" customHeight="1" s="22"/>
    <row r="121" ht="15.75" customHeight="1" s="22"/>
    <row r="122" ht="15.75" customHeight="1" s="22"/>
    <row r="123" ht="15.75" customHeight="1" s="22"/>
    <row r="124" ht="15.75" customHeight="1" s="22"/>
    <row r="125" ht="15.75" customHeight="1" s="22"/>
    <row r="126" ht="15.75" customHeight="1" s="22"/>
    <row r="127" ht="15.75" customHeight="1" s="22"/>
    <row r="128" ht="15.75" customHeight="1" s="22"/>
    <row r="129" ht="15.75" customHeight="1" s="22"/>
    <row r="130" ht="15.75" customHeight="1" s="22"/>
    <row r="131" ht="15.75" customHeight="1" s="22"/>
    <row r="132" ht="15.75" customHeight="1" s="22"/>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mergeCells count="3">
    <mergeCell ref="A3:F3"/>
    <mergeCell ref="A1:F1"/>
    <mergeCell ref="A12:F12"/>
  </mergeCells>
  <conditionalFormatting sqref="C5:C10">
    <cfRule type="expression" priority="1" dxfId="0">
      <formula>EXACT(C5,"Resolved")</formula>
    </cfRule>
    <cfRule type="expression" priority="2" dxfId="1">
      <formula>EXACT(C5,"Pending")</formula>
    </cfRule>
    <cfRule type="expression" priority="3" dxfId="6">
      <formula>EXACT(C5,"Blocked")</formula>
    </cfRule>
    <cfRule type="expression" priority="4" dxfId="7">
      <formula>EXACT(C5,"In progress")</formula>
    </cfRule>
  </conditionalFormatting>
  <conditionalFormatting sqref="C14:C22">
    <cfRule type="expression" priority="5" dxfId="0">
      <formula>EXACT(C14,"Resolved")</formula>
    </cfRule>
    <cfRule type="expression" priority="6" dxfId="1">
      <formula>EXACT(C14,"Pending")</formula>
    </cfRule>
    <cfRule type="expression" priority="7" dxfId="6">
      <formula>EXACT(C14,"Blocked")</formula>
    </cfRule>
    <cfRule type="expression" priority="8" dxfId="7">
      <formula>EXACT(C14,"In progress")</formula>
    </cfRule>
  </conditionalFormatting>
  <dataValidations count="1">
    <dataValidation sqref="C5:C10 C14:C22" showDropDown="0" showInputMessage="0" showErrorMessage="0" allowBlank="1" type="list">
      <formula1>"Pending,In progress,Resolved,Blocked"</formula1>
    </dataValidation>
  </dataValidations>
  <pageMargins left="0.75" right="0.75" top="1" bottom="1" header="0" footer="0"/>
  <pageSetup orientation="landscape"/>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QA Analyst</dc:creator>
  <dcterms:created xmlns:dcterms="http://purl.org/dc/terms/" xmlns:xsi="http://www.w3.org/2001/XMLSchema-instance" xsi:type="dcterms:W3CDTF">2026-10-21T19:12:24Z</dcterms:created>
  <dcterms:modified xmlns:dcterms="http://purl.org/dc/terms/" xmlns:xsi="http://www.w3.org/2001/XMLSchema-instance" xsi:type="dcterms:W3CDTF">2026-10-21T19:12:24Z</dcterms:modified>
  <cp:lastModifiedBy>QA Analyst</cp:lastModifiedBy>
</cp:coreProperties>
</file>